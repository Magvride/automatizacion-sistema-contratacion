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<sst xmlns="http://schemas.openxmlformats.org/spreadsheetml/2006/main" count="389" uniqueCount="389">
  <si>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</si>
  <si>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</si>
  <si>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</si>
  <si>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</si>
  <si>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</si>
  <si>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</si>
  <si>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</si>
  <si>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</si>
  <si>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</si>
  <si>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</si>
  <si>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</si>
  <si>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</si>
  <si>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</si>
  <si>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</si>
  <si>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</si>
  <si>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</si>
  <si>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</si>
  <si>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</si>
  <si>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</si>
  <si>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</si>
  <si>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</si>
  <si>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</si>
  <si>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01/08/2026 al ${table:fechaHasta}</t>
  </si>
  <si>
    <t>Fecha del reporte: 01/08/2026 al 31/08/2026</t>
  </si>
  <si>
    <t>20-2026000281</t>
  </si>
  <si>
    <t>20-2026000285</t>
  </si>
  <si>
    <t>20-2026000292</t>
  </si>
  <si>
    <t>20-2026000291</t>
  </si>
  <si>
    <t>20-2026000260</t>
  </si>
  <si>
    <t>20-2026000261</t>
  </si>
  <si>
    <t>20-2026000259</t>
  </si>
  <si>
    <t>18-2026002290</t>
  </si>
  <si>
    <t>20-2026000258</t>
  </si>
  <si>
    <t>20-2026000276</t>
  </si>
  <si>
    <t>18-2026002432</t>
  </si>
  <si>
    <t>18-2026002419</t>
  </si>
  <si>
    <t>18-2026002334</t>
  </si>
  <si>
    <t>18-2026002454</t>
  </si>
  <si>
    <t>18-2026002449</t>
  </si>
  <si>
    <t>18-2026002436</t>
  </si>
  <si>
    <t>18-2026002444</t>
  </si>
  <si>
    <t>18-2026002445</t>
  </si>
  <si>
    <t>18-2026002214</t>
  </si>
  <si>
    <t>18-2026002213</t>
  </si>
  <si>
    <t>18-2026002211</t>
  </si>
  <si>
    <t>18-2026002212</t>
  </si>
  <si>
    <t>18-2026002266</t>
  </si>
  <si>
    <t>20-2026000257</t>
  </si>
  <si>
    <t>18-2026002288</t>
  </si>
  <si>
    <t>18-2026002341</t>
  </si>
  <si>
    <t>20-2026000269</t>
  </si>
  <si>
    <t>18-2026002318</t>
  </si>
  <si>
    <t>20-2026000286</t>
  </si>
  <si>
    <t>18-2026002298</t>
  </si>
  <si>
    <t>18-2026002367</t>
  </si>
  <si>
    <t>20-2026000278</t>
  </si>
  <si>
    <t>20-2026000264</t>
  </si>
  <si>
    <t>18-2026002397</t>
  </si>
  <si>
    <t>20-2026000294</t>
  </si>
  <si>
    <t>20-2026000288</t>
  </si>
  <si>
    <t>18-2026002287</t>
  </si>
  <si>
    <t>18-2026002286</t>
  </si>
  <si>
    <t>18-2026002330</t>
  </si>
  <si>
    <t>20-2026000322</t>
  </si>
  <si>
    <t>20-2026000297</t>
  </si>
  <si>
    <t>20-2026000287</t>
  </si>
  <si>
    <t>18-2026002327</t>
  </si>
  <si>
    <t>20-2026000336</t>
  </si>
  <si>
    <t>20-2026000308</t>
  </si>
  <si>
    <t>18-2026002490</t>
  </si>
  <si>
    <t>20-2026000344</t>
  </si>
  <si>
    <t>20-2026000310</t>
  </si>
  <si>
    <t>20-2026000305</t>
  </si>
  <si>
    <t>18-2026002359</t>
  </si>
  <si>
    <t>234-2025007956</t>
  </si>
  <si>
    <t>234-2025007957</t>
  </si>
  <si>
    <t>234-2025008200</t>
  </si>
  <si>
    <t>234-2025006425</t>
  </si>
  <si>
    <t>234-2025006427</t>
  </si>
  <si>
    <t>234-2025008198</t>
  </si>
  <si>
    <t>234-2025008199</t>
  </si>
  <si>
    <t>18-2026002293</t>
  </si>
  <si>
    <t>234-2025008202</t>
  </si>
  <si>
    <t>234-2025008204</t>
  </si>
  <si>
    <t>234-2025008201</t>
  </si>
  <si>
    <t>234-2025008203</t>
  </si>
  <si>
    <t>234-2025008571</t>
  </si>
  <si>
    <t>234-2025017176</t>
  </si>
  <si>
    <t>20-2026000340</t>
  </si>
  <si>
    <t>20-2026000339</t>
  </si>
  <si>
    <t/>
  </si>
  <si>
    <t>20-2026000345</t>
  </si>
  <si>
    <t>20-2026000309</t>
  </si>
  <si>
    <t>18-2026002453</t>
  </si>
  <si>
    <t>18-2026002472</t>
  </si>
  <si>
    <t>20-2026000234</t>
  </si>
  <si>
    <t>20-2026000323</t>
  </si>
  <si>
    <t>18-2026002324</t>
  </si>
  <si>
    <t>20-2026000346</t>
  </si>
  <si>
    <t>234-2026002514</t>
  </si>
  <si>
    <t>234-2026004581</t>
  </si>
  <si>
    <t>20-2026000347</t>
  </si>
  <si>
    <t>234-2026004585</t>
  </si>
  <si>
    <t>18-2026002434</t>
  </si>
  <si>
    <t>234-2026002516</t>
  </si>
  <si>
    <t>234-2026002521</t>
  </si>
  <si>
    <t>234-2026003487</t>
  </si>
  <si>
    <t>234-2026002502</t>
  </si>
  <si>
    <t>234-2026002501</t>
  </si>
  <si>
    <t>20-2026000361</t>
  </si>
  <si>
    <t>234-2026002531</t>
  </si>
  <si>
    <t>234-2026002506</t>
  </si>
  <si>
    <t>234-2026002512</t>
  </si>
  <si>
    <t>49-2025000023</t>
  </si>
  <si>
    <t>234-2026002503</t>
  </si>
  <si>
    <t>234-2026002504</t>
  </si>
  <si>
    <t>18-2026002481</t>
  </si>
  <si>
    <t>234-2026004587</t>
  </si>
  <si>
    <t>234-2026002500</t>
  </si>
  <si>
    <t>234-2025014354</t>
  </si>
  <si>
    <t>234-2025016378</t>
  </si>
  <si>
    <t>234-2026000666</t>
  </si>
  <si>
    <t>234-2026000620</t>
  </si>
  <si>
    <t>234-2026000622</t>
  </si>
  <si>
    <t>234-2026000636</t>
  </si>
  <si>
    <t>234-2026000608</t>
  </si>
  <si>
    <t>234-2026000039</t>
  </si>
  <si>
    <t>234-2026000613</t>
  </si>
  <si>
    <t>234-2026000614</t>
  </si>
  <si>
    <t>234-2026000615</t>
  </si>
  <si>
    <t>234-2026000617</t>
  </si>
  <si>
    <t>234-2026002111</t>
  </si>
  <si>
    <t>234-2026000671</t>
  </si>
  <si>
    <t>234-2026000791</t>
  </si>
  <si>
    <t>234-2026002249</t>
  </si>
  <si>
    <t>234-2026002499</t>
  </si>
  <si>
    <t>20-2026000360</t>
  </si>
  <si>
    <t>18-2026002501</t>
  </si>
  <si>
    <t>20-2026000349</t>
  </si>
  <si>
    <t>234-2026004843</t>
  </si>
  <si>
    <t>234-2026004640</t>
  </si>
  <si>
    <t>234-2026004841</t>
  </si>
  <si>
    <t>18-2026002433</t>
  </si>
  <si>
    <t>270-2026000747</t>
  </si>
  <si>
    <t>4114_DIEF_CIENCIAS</t>
  </si>
  <si>
    <t>4112_COORD_PROGRAMAS_PROYECTOS</t>
  </si>
  <si>
    <t>4116_DIEF_FISICO_QUIMICAS</t>
  </si>
  <si>
    <t>4118_DIEF_SALUD</t>
  </si>
  <si>
    <t>4115_DIEF_CIENCIAS_HUMANAS</t>
  </si>
  <si>
    <t>4112_PROYECTO_8944</t>
  </si>
  <si>
    <t>4117_DIEF_FISICO_MECANICAS</t>
  </si>
  <si>
    <t>4112_PROYECTO_8943</t>
  </si>
  <si>
    <t>P11_PROYECTOS</t>
  </si>
  <si>
    <t>P11.14_APOYO_GRUPOS_INVEST</t>
  </si>
  <si>
    <t>P11.15_APOYO_SEMILLEROS_INVEST</t>
  </si>
  <si>
    <t>P11.02_PROY_INVEST_FINAN_EXT</t>
  </si>
  <si>
    <t>P11.03_PROYECTOS_INVEST_FINAN_INTERNA</t>
  </si>
  <si>
    <t>P11.13_PROY_REGALIAS_SGR</t>
  </si>
  <si>
    <t>11/08/2026 08:58</t>
  </si>
  <si>
    <t>11/08/2026 09:37</t>
  </si>
  <si>
    <t>11/08/2026 16:35</t>
  </si>
  <si>
    <t>12/08/2026 14:48</t>
  </si>
  <si>
    <t>04/08/2026 08:47</t>
  </si>
  <si>
    <t>04/08/2026 08:54</t>
  </si>
  <si>
    <t>04/08/2026 08:34</t>
  </si>
  <si>
    <t>04/08/2026 11:32</t>
  </si>
  <si>
    <t>04/08/2026 10:17</t>
  </si>
  <si>
    <t>06/08/2026 09:02</t>
  </si>
  <si>
    <t>18/08/2026 10:31</t>
  </si>
  <si>
    <t>18/08/2026 14:29</t>
  </si>
  <si>
    <t>18/08/2026 16:29</t>
  </si>
  <si>
    <t>20/08/2026 09:22</t>
  </si>
  <si>
    <t>20/08/2026 07:48</t>
  </si>
  <si>
    <t>20/08/2026 10:25</t>
  </si>
  <si>
    <t>20/08/2026 09:21</t>
  </si>
  <si>
    <t>03/08/2026 14:33</t>
  </si>
  <si>
    <t>03/08/2026 14:32</t>
  </si>
  <si>
    <t>04/08/2026 14:38</t>
  </si>
  <si>
    <t>04/08/2026 14:54</t>
  </si>
  <si>
    <t>05/08/2026 15:00</t>
  </si>
  <si>
    <t>10/08/2026 09:48</t>
  </si>
  <si>
    <t>05/08/2026 14:36</t>
  </si>
  <si>
    <t>05/08/2026 15:14</t>
  </si>
  <si>
    <t>11/08/2026 15:23</t>
  </si>
  <si>
    <t>04/08/2026 16:09</t>
  </si>
  <si>
    <t>12/08/2026 15:32</t>
  </si>
  <si>
    <t>13/08/2026 09:10</t>
  </si>
  <si>
    <t>05/08/2026 06:27</t>
  </si>
  <si>
    <t>13/08/2026 16:28</t>
  </si>
  <si>
    <t>13/08/2026 09:20</t>
  </si>
  <si>
    <t>13/08/2026 14:49</t>
  </si>
  <si>
    <t>18/08/2026 07:19</t>
  </si>
  <si>
    <t>13/08/2026 14:30</t>
  </si>
  <si>
    <t>06/08/2026 10:51</t>
  </si>
  <si>
    <t>25/08/2026 11:33</t>
  </si>
  <si>
    <t>25/08/2026 11:34</t>
  </si>
  <si>
    <t>25/08/2026 11:26</t>
  </si>
  <si>
    <t>11/08/2026 18:03</t>
  </si>
  <si>
    <t>24/08/2026 11:27</t>
  </si>
  <si>
    <t>21/08/2026 10:39</t>
  </si>
  <si>
    <t>25/08/2026 20:27</t>
  </si>
  <si>
    <t>25/08/2026 14:41</t>
  </si>
  <si>
    <t>19/08/2026 17:42</t>
  </si>
  <si>
    <t>19/08/2026 17:28</t>
  </si>
  <si>
    <t>12/08/2026 16:44</t>
  </si>
  <si>
    <t>24/08/2026 08:45</t>
  </si>
  <si>
    <t>24/08/2026 08:46</t>
  </si>
  <si>
    <t>24/08/2026 08:47</t>
  </si>
  <si>
    <t>24/08/2026 08:44</t>
  </si>
  <si>
    <t>03/08/2026 07:59</t>
  </si>
  <si>
    <t>24/08/2026 08:41</t>
  </si>
  <si>
    <t>24/08/2026 08:42</t>
  </si>
  <si>
    <t>24/08/2026 08:40</t>
  </si>
  <si>
    <t>24/08/2026 08:43</t>
  </si>
  <si>
    <t>26/08/2026 15:14</t>
  </si>
  <si>
    <t>26/08/2026 15:12</t>
  </si>
  <si>
    <t>27/08/2026 10:04</t>
  </si>
  <si>
    <t>26/08/2026 11:22</t>
  </si>
  <si>
    <t>26/08/2026 09:26</t>
  </si>
  <si>
    <t>26/08/2026 16:13</t>
  </si>
  <si>
    <t>26/08/2026 16:50</t>
  </si>
  <si>
    <t>26/08/2026 16:03</t>
  </si>
  <si>
    <t>21/08/2026 10:42</t>
  </si>
  <si>
    <t>04/08/2026 20:08</t>
  </si>
  <si>
    <t>27/08/2026 09:25</t>
  </si>
  <si>
    <t>28/08/2026 11:02</t>
  </si>
  <si>
    <t>28/08/2026 14:55</t>
  </si>
  <si>
    <t>28/08/2026 08:10</t>
  </si>
  <si>
    <t>28/08/2026 14:59</t>
  </si>
  <si>
    <t>27/08/2026 10:12</t>
  </si>
  <si>
    <t>28/08/2026 11:03</t>
  </si>
  <si>
    <t>28/08/2026 11:08</t>
  </si>
  <si>
    <t>28/08/2026 11:23</t>
  </si>
  <si>
    <t>28/08/2026 10:40</t>
  </si>
  <si>
    <t>28/08/2026 10:35</t>
  </si>
  <si>
    <t>28/08/2026 11:16</t>
  </si>
  <si>
    <t>28/08/2026 11:15</t>
  </si>
  <si>
    <t>28/08/2026 10:53</t>
  </si>
  <si>
    <t>28/08/2026 10:56</t>
  </si>
  <si>
    <t>28/08/2026 10:41</t>
  </si>
  <si>
    <t>28/08/2026 10:43</t>
  </si>
  <si>
    <t>28/08/2026 10:45</t>
  </si>
  <si>
    <t>28/08/2026 11:54</t>
  </si>
  <si>
    <t>28/08/2026 15:03</t>
  </si>
  <si>
    <t>27/08/2026 16:07</t>
  </si>
  <si>
    <t>27/08/2026 09:57</t>
  </si>
  <si>
    <t>27/08/2026 09:58</t>
  </si>
  <si>
    <t>27/08/2026 15:37</t>
  </si>
  <si>
    <t>27/08/2026 15:24</t>
  </si>
  <si>
    <t>27/08/2026 15:27</t>
  </si>
  <si>
    <t>27/08/2026 15:33</t>
  </si>
  <si>
    <t>27/08/2026 11:48</t>
  </si>
  <si>
    <t>27/08/2026 11:49</t>
  </si>
  <si>
    <t>27/08/2026 15:14</t>
  </si>
  <si>
    <t>27/08/2026 15:17</t>
  </si>
  <si>
    <t>27/08/2026 15:20</t>
  </si>
  <si>
    <t>27/08/2026 15:56</t>
  </si>
  <si>
    <t>27/08/2026 15:41</t>
  </si>
  <si>
    <t>27/08/2026 15:46</t>
  </si>
  <si>
    <t>27/08/2026 15:59</t>
  </si>
  <si>
    <t>27/08/2026 16:01</t>
  </si>
  <si>
    <t>28/08/2026 16:37</t>
  </si>
  <si>
    <t>28/08/2026 19:17</t>
  </si>
  <si>
    <t>28/08/2026 08:29</t>
  </si>
  <si>
    <t>28/08/2026 15:48</t>
  </si>
  <si>
    <t>28/08/2026 15:41</t>
  </si>
  <si>
    <t>28/08/2026 15:44</t>
  </si>
  <si>
    <t>20/08/2026 09:54</t>
  </si>
  <si>
    <t>31/08/2026 11:35</t>
  </si>
  <si>
    <t>11/08/2026 09:01</t>
  </si>
  <si>
    <t>11/08/2026 09:40</t>
  </si>
  <si>
    <t>11/08/2026 16:36</t>
  </si>
  <si>
    <t>12/08/2026 14:49</t>
  </si>
  <si>
    <t>04/08/2026 08:48</t>
  </si>
  <si>
    <t>04/08/2026 08:35</t>
  </si>
  <si>
    <t>04/08/2026 10:18</t>
  </si>
  <si>
    <t>06/08/2026 09:04</t>
  </si>
  <si>
    <t>18/08/2026 10:32</t>
  </si>
  <si>
    <t>18/08/2026 16:31</t>
  </si>
  <si>
    <t>20/08/2026 09:25</t>
  </si>
  <si>
    <t>20/08/2026 09:16</t>
  </si>
  <si>
    <t>20/08/2026 10:26</t>
  </si>
  <si>
    <t>20/08/2026 09:23</t>
  </si>
  <si>
    <t>20/08/2026 09:24</t>
  </si>
  <si>
    <t>03/08/2026 16:54</t>
  </si>
  <si>
    <t>03/08/2026 16:36</t>
  </si>
  <si>
    <t>03/08/2026 15:34</t>
  </si>
  <si>
    <t>03/08/2026 15:54</t>
  </si>
  <si>
    <t>04/08/2026 14:55</t>
  </si>
  <si>
    <t>05/08/2026 15:01</t>
  </si>
  <si>
    <t>10/08/2026 09:49</t>
  </si>
  <si>
    <t>05/08/2026 14:39</t>
  </si>
  <si>
    <t>05/08/2026 15:15</t>
  </si>
  <si>
    <t>10/08/2026 16:32</t>
  </si>
  <si>
    <t>13/08/2026 09:13</t>
  </si>
  <si>
    <t>13/08/2026 16:26</t>
  </si>
  <si>
    <t>13/08/2026 14:50</t>
  </si>
  <si>
    <t>19/08/2026 11:39</t>
  </si>
  <si>
    <t>19/08/2026 11:42</t>
  </si>
  <si>
    <t>25/08/2026 11:35</t>
  </si>
  <si>
    <t>25/08/2026 09:32</t>
  </si>
  <si>
    <t>24/08/2026 11:28</t>
  </si>
  <si>
    <t>25/08/2026 14:44</t>
  </si>
  <si>
    <t>24/08/2026 11:11</t>
  </si>
  <si>
    <t>24/08/2026 11:16</t>
  </si>
  <si>
    <t>24/08/2026 11:01</t>
  </si>
  <si>
    <t>13/08/2026 09:06</t>
  </si>
  <si>
    <t>26/08/2026 15:15</t>
  </si>
  <si>
    <t>27/08/2026 10:05</t>
  </si>
  <si>
    <t>26/08/2026 11:24</t>
  </si>
  <si>
    <t>26/08/2026 09:27</t>
  </si>
  <si>
    <t>26/08/2026 16:04</t>
  </si>
  <si>
    <t>26/08/2026 14:13</t>
  </si>
  <si>
    <t>26/08/2026 17:57</t>
  </si>
  <si>
    <t>28/08/2026 14:57</t>
  </si>
  <si>
    <t>28/08/2026 14:41</t>
  </si>
  <si>
    <t>28/08/2026 15:02</t>
  </si>
  <si>
    <t>27/08/2026 11:00</t>
  </si>
  <si>
    <t>28/08/2026 11:10</t>
  </si>
  <si>
    <t>28/08/2026 11:19</t>
  </si>
  <si>
    <t>28/08/2026 10:54</t>
  </si>
  <si>
    <t>28/08/2026 10:46</t>
  </si>
  <si>
    <t>28/08/2026 15:17</t>
  </si>
  <si>
    <t>27/08/2026 16:08</t>
  </si>
  <si>
    <t>27/08/2026 09:59</t>
  </si>
  <si>
    <t>27/08/2026 15:34</t>
  </si>
  <si>
    <t>27/08/2026 15:57</t>
  </si>
  <si>
    <t>27/08/2026 15:47</t>
  </si>
  <si>
    <t>27/08/2026 16:02</t>
  </si>
  <si>
    <t>28/08/2026 16:56</t>
  </si>
  <si>
    <t>31/08/2026 07:24</t>
  </si>
  <si>
    <t>28/08/2026 11:35</t>
  </si>
  <si>
    <t>28/08/2026 15:50</t>
  </si>
  <si>
    <t>28/08/2026 15:42</t>
  </si>
  <si>
    <t>31/08/2026 08:16</t>
  </si>
  <si>
    <t>31/08/2026 11:36</t>
  </si>
  <si>
    <t>8090_CONTRATO_043_2025</t>
  </si>
  <si>
    <t>8096_CONTRATO_474_2025</t>
  </si>
  <si>
    <t>8060_CONTRATO_101128601</t>
  </si>
  <si>
    <t>8099_CONTRATO_474_2025</t>
  </si>
  <si>
    <t>8271_CONTRATO_0647_2022</t>
  </si>
  <si>
    <t>8054_CONTRATO_101137283_2023</t>
  </si>
  <si>
    <t>8052_CONTRATO_112721_440_2023</t>
  </si>
  <si>
    <t>8089_CONTRATO_112721_044_2025</t>
  </si>
  <si>
    <t>8085_CONTRATO_2022_0718</t>
  </si>
  <si>
    <t>8087_CONTRATO_W911NF2510165</t>
  </si>
  <si>
    <t>8288_CONTRATO_2022_0724</t>
  </si>
  <si>
    <t>8944_BPIN_2024000100037_2023</t>
  </si>
  <si>
    <t>8943_BPIN_2024000100031_2025</t>
  </si>
  <si>
    <t>8943_BPIN_2024000100031_2026</t>
  </si>
  <si>
    <t>8097_CONTRATO_474_2025</t>
  </si>
  <si>
    <t>8212_CONTRATO_7000000124_2025</t>
  </si>
  <si>
    <t>8094_ATN-PS-20993-CO 8CO-T1754)</t>
  </si>
  <si>
    <t>4674_ORDENES_COMPRA</t>
  </si>
  <si>
    <t>4725_ORDENES_COMPRA</t>
  </si>
  <si>
    <t>8090_ORDEN_COMPRA</t>
  </si>
  <si>
    <t>8096_ORDEN_COMPRA</t>
  </si>
  <si>
    <t>4817_ORDENES_COMPRA</t>
  </si>
  <si>
    <t>8090_ORDEN_PRESTACION_SERVICIOS</t>
  </si>
  <si>
    <t>ORDENES_COMPRA</t>
  </si>
  <si>
    <t>8060_ORDEN_PRESTACION_SERVICIOS</t>
  </si>
  <si>
    <t>8099_ORDEN_PRESTACION_SERVICIOS</t>
  </si>
  <si>
    <t>4259_ORDENES_PRESTACION_SERVICIOS</t>
  </si>
  <si>
    <t>8271_ORDEN_PRESTACION_SERVICIOS</t>
  </si>
  <si>
    <t>8054_ORDEN_PRESTACION_SERVICIOS</t>
  </si>
  <si>
    <t>ORDENES_PRESTACION_SERVICIOS</t>
  </si>
  <si>
    <t>8052_ORDEN_COMPRA</t>
  </si>
  <si>
    <t>8089_ORDEN_PRESTACION_SERVICIOS</t>
  </si>
  <si>
    <t>4247_ORDENES_PRESTACION_SERVICIOS</t>
  </si>
  <si>
    <t>8085_ORDEN_COMPRA</t>
  </si>
  <si>
    <t>4672_ORDENES_PRESTACION_SERVICIOS</t>
  </si>
  <si>
    <t>8087_ORDEN_PRESTACION_SERVICIOS</t>
  </si>
  <si>
    <t>8288_ORDEN_PRESTACION_SERVICIOS</t>
  </si>
  <si>
    <t>8944_ORDEN_PRESTACION_SERVICIOS</t>
  </si>
  <si>
    <t>4624_ORDENES_PRESTACION_SERVICIOS</t>
  </si>
  <si>
    <t>8944_ORDEN_COMPRA</t>
  </si>
  <si>
    <t>8943_ORDEN_PAGO_MANUAL</t>
  </si>
  <si>
    <t>8943_ORDEN_PRESTACION_SERVICIOS</t>
  </si>
  <si>
    <t>4675_ORDENES_COMPRA</t>
  </si>
  <si>
    <t>4669_ORDENES_COMPRA</t>
  </si>
  <si>
    <t>REGISTRO_CONTRACTUAL</t>
  </si>
  <si>
    <t>8097_ORDEN_COMPRA</t>
  </si>
  <si>
    <t>8212_ORDEN_PAGO_MANUAL</t>
  </si>
  <si>
    <t>8288_ORDEN_COMPRA</t>
  </si>
  <si>
    <t>8943_ORDEN_COMPRA_IMPORTACION</t>
  </si>
  <si>
    <t>8054_ORDEN_PAGO_MANUAL</t>
  </si>
  <si>
    <t>4695_ORDENES_PRESTACION_SERVICIOS</t>
  </si>
  <si>
    <t>8212_ORDEN_PRESTACION_SERVICIOS</t>
  </si>
  <si>
    <t>8094_COMPONENTE FINANCIERO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</si>
</sst>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HYPERLINK("https://gesdoc.uis.edu.co/share/page/folder-details?nodeRef=workspace://SpacesStore/655db562-12e1-468c-b402-bb1b11a3f24b","0020_2026000281_4674")</f>
      </c>
      <c r="C13" s="12" t="s">
        <v>24</v>
      </c>
      <c r="D13" s="13" t="s">
        <v>144</v>
      </c>
      <c r="E13" s="12" t="s">
        <v>152</v>
      </c>
      <c r="F13" s="12" t="s">
        <v>153</v>
      </c>
      <c r="G13" s="12" t="s">
        <v>158</v>
      </c>
      <c r="H13" s="12" t="s">
        <v>269</v>
      </c>
      <c r="I13" s="12">
        <v>4674</v>
      </c>
      <c r="J13" s="12" t="s">
        <v>353</v>
      </c>
    </row>
    <row customHeight="1" ht="33" r="14">
      <c r="B14" s="12">
        <f>HYPERLINK("https://gesdoc.uis.edu.co/share/page/folder-details?nodeRef=workspace://SpacesStore/1b524302-523d-498f-8c0f-08e051e2b580","0020_2026000285_4725")</f>
      </c>
      <c r="C14" s="12" t="s">
        <v>25</v>
      </c>
      <c r="D14" s="13" t="s">
        <v>144</v>
      </c>
      <c r="E14" s="12" t="s">
        <v>152</v>
      </c>
      <c r="F14" s="12" t="s">
        <v>154</v>
      </c>
      <c r="G14" s="12" t="s">
        <v>159</v>
      </c>
      <c r="H14" s="12" t="s">
        <v>270</v>
      </c>
      <c r="I14" s="12">
        <v>4725</v>
      </c>
      <c r="J14" s="12" t="s">
        <v>354</v>
      </c>
    </row>
    <row customHeight="1" ht="33" r="15">
      <c r="B15" s="12">
        <f>HYPERLINK("https://gesdoc.uis.edu.co/share/page/folder-details?nodeRef=workspace://SpacesStore/17fceb04-f583-4f55-b1e6-0ddde9832b91","0020_2026000292_8090")</f>
      </c>
      <c r="C15" s="12" t="s">
        <v>26</v>
      </c>
      <c r="D15" s="13" t="s">
        <v>145</v>
      </c>
      <c r="E15" s="12" t="s">
        <v>152</v>
      </c>
      <c r="F15" s="12" t="s">
        <v>155</v>
      </c>
      <c r="G15" s="12" t="s">
        <v>160</v>
      </c>
      <c r="H15" s="12" t="s">
        <v>271</v>
      </c>
      <c r="I15" s="12" t="s">
        <v>336</v>
      </c>
      <c r="J15" s="12" t="s">
        <v>355</v>
      </c>
    </row>
    <row customHeight="1" ht="33" r="16">
      <c r="B16" s="12">
        <f>HYPERLINK("https://gesdoc.uis.edu.co/share/page/folder-details?nodeRef=workspace://SpacesStore/034f862f-c544-439d-9695-49c167269d98","0020_2026000291_8096")</f>
      </c>
      <c r="C16" s="12" t="s">
        <v>27</v>
      </c>
      <c r="D16" s="13" t="s">
        <v>145</v>
      </c>
      <c r="E16" s="12" t="s">
        <v>152</v>
      </c>
      <c r="F16" s="12" t="s">
        <v>155</v>
      </c>
      <c r="G16" s="12" t="s">
        <v>161</v>
      </c>
      <c r="H16" s="12" t="s">
        <v>272</v>
      </c>
      <c r="I16" s="12" t="s">
        <v>337</v>
      </c>
      <c r="J16" s="12" t="s">
        <v>356</v>
      </c>
    </row>
    <row customHeight="1" ht="33" r="17">
      <c r="B17" s="12">
        <f>HYPERLINK("https://gesdoc.uis.edu.co/share/page/folder-details?nodeRef=workspace://SpacesStore/9ab52206-f177-473a-aec8-39a73a90ce00","0020_2026000260_4817")</f>
      </c>
      <c r="C17" s="12" t="s">
        <v>28</v>
      </c>
      <c r="D17" s="13" t="s">
        <v>144</v>
      </c>
      <c r="E17" s="12" t="s">
        <v>152</v>
      </c>
      <c r="F17" s="12" t="s">
        <v>156</v>
      </c>
      <c r="G17" s="12" t="s">
        <v>162</v>
      </c>
      <c r="H17" s="12" t="s">
        <v>273</v>
      </c>
      <c r="I17" s="12">
        <v>4817</v>
      </c>
      <c r="J17" s="12" t="s">
        <v>357</v>
      </c>
    </row>
    <row customHeight="1" ht="33" r="18">
      <c r="B18" s="12">
        <f>HYPERLINK("https://gesdoc.uis.edu.co/share/page/folder-details?nodeRef=workspace://SpacesStore/97329033-64aa-4664-8a94-5fbbc261b516","0020_2026000261_4817")</f>
      </c>
      <c r="C18" s="12" t="s">
        <v>29</v>
      </c>
      <c r="D18" s="13" t="s">
        <v>144</v>
      </c>
      <c r="E18" s="12" t="s">
        <v>152</v>
      </c>
      <c r="F18" s="12" t="s">
        <v>156</v>
      </c>
      <c r="G18" s="12" t="s">
        <v>163</v>
      </c>
      <c r="H18" s="12" t="s">
        <v>163</v>
      </c>
      <c r="I18" s="12">
        <v>4817</v>
      </c>
      <c r="J18" s="12" t="s">
        <v>357</v>
      </c>
    </row>
    <row customHeight="1" ht="33" r="19">
      <c r="B19" s="12">
        <f>HYPERLINK("https://gesdoc.uis.edu.co/share/page/folder-details?nodeRef=workspace://SpacesStore/4cf40827-409b-42f7-871d-dcd24e3c5045","0020_2026000259_4817")</f>
      </c>
      <c r="C19" s="12" t="s">
        <v>30</v>
      </c>
      <c r="D19" s="13" t="s">
        <v>144</v>
      </c>
      <c r="E19" s="12" t="s">
        <v>152</v>
      </c>
      <c r="F19" s="12" t="s">
        <v>156</v>
      </c>
      <c r="G19" s="12" t="s">
        <v>164</v>
      </c>
      <c r="H19" s="12" t="s">
        <v>274</v>
      </c>
      <c r="I19" s="12">
        <v>4817</v>
      </c>
      <c r="J19" s="12" t="s">
        <v>357</v>
      </c>
    </row>
    <row customHeight="1" ht="33" r="20">
      <c r="B20" s="12">
        <f>HYPERLINK("https://gesdoc.uis.edu.co/share/page/folder-details?nodeRef=workspace://SpacesStore/3307c1cd-2248-4f01-8ef1-55a397b7c24c","0018_2026002290_8090")</f>
      </c>
      <c r="C20" s="12" t="s">
        <v>31</v>
      </c>
      <c r="D20" s="13" t="s">
        <v>145</v>
      </c>
      <c r="E20" s="12" t="s">
        <v>152</v>
      </c>
      <c r="F20" s="12" t="s">
        <v>155</v>
      </c>
      <c r="G20" s="12" t="s">
        <v>165</v>
      </c>
      <c r="H20" s="12" t="s">
        <v>165</v>
      </c>
      <c r="I20" s="12" t="s">
        <v>336</v>
      </c>
      <c r="J20" s="12" t="s">
        <v>358</v>
      </c>
    </row>
    <row customHeight="1" ht="33" r="21">
      <c r="B21" s="12">
        <f>HYPERLINK("https://gesdoc.uis.edu.co/share/page/folder-details?nodeRef=workspace://SpacesStore/a94a9df1-7fb4-41ce-a56e-d7702ca8aa81","0020_2026000258_4498")</f>
      </c>
      <c r="C21" s="12" t="s">
        <v>32</v>
      </c>
      <c r="D21" s="13" t="s">
        <v>146</v>
      </c>
      <c r="E21" s="12" t="s">
        <v>152</v>
      </c>
      <c r="F21" s="12" t="s">
        <v>156</v>
      </c>
      <c r="G21" s="12" t="s">
        <v>166</v>
      </c>
      <c r="H21" s="12" t="s">
        <v>275</v>
      </c>
      <c r="I21" s="12">
        <v>4498</v>
      </c>
      <c r="J21" s="12" t="s">
        <v>359</v>
      </c>
    </row>
    <row customHeight="1" ht="33" r="22">
      <c r="B22" s="12">
        <f>HYPERLINK("https://gesdoc.uis.edu.co/share/page/folder-details?nodeRef=workspace://SpacesStore/6fa67a1b-4873-422a-9331-75fec47b95ea","0020_2026000276_4817")</f>
      </c>
      <c r="C22" s="12" t="s">
        <v>33</v>
      </c>
      <c r="D22" s="13" t="s">
        <v>144</v>
      </c>
      <c r="E22" s="12" t="s">
        <v>152</v>
      </c>
      <c r="F22" s="12" t="s">
        <v>156</v>
      </c>
      <c r="G22" s="12" t="s">
        <v>167</v>
      </c>
      <c r="H22" s="12" t="s">
        <v>276</v>
      </c>
      <c r="I22" s="12">
        <v>4817</v>
      </c>
      <c r="J22" s="12" t="s">
        <v>357</v>
      </c>
    </row>
    <row customHeight="1" ht="33" r="23">
      <c r="B23" s="12">
        <f>HYPERLINK("https://gesdoc.uis.edu.co/share/page/folder-details?nodeRef=workspace://SpacesStore/bafca2c5-84b8-44e1-8b97-aa7e655ee74d","0018_2026002432_8060")</f>
      </c>
      <c r="C23" s="12" t="s">
        <v>34</v>
      </c>
      <c r="D23" s="13" t="s">
        <v>145</v>
      </c>
      <c r="E23" s="12" t="s">
        <v>152</v>
      </c>
      <c r="F23" s="12" t="s">
        <v>155</v>
      </c>
      <c r="G23" s="12" t="s">
        <v>168</v>
      </c>
      <c r="H23" s="12" t="s">
        <v>277</v>
      </c>
      <c r="I23" s="12" t="s">
        <v>338</v>
      </c>
      <c r="J23" s="12" t="s">
        <v>360</v>
      </c>
    </row>
    <row customHeight="1" ht="33" r="24">
      <c r="B24" s="12">
        <f>HYPERLINK("https://gesdoc.uis.edu.co/share/page/folder-details?nodeRef=workspace://SpacesStore/610d0a15-819d-4f7b-9054-09a9e48b0475","0018_2026002419_8099")</f>
      </c>
      <c r="C24" s="12" t="s">
        <v>35</v>
      </c>
      <c r="D24" s="13" t="s">
        <v>145</v>
      </c>
      <c r="E24" s="12" t="s">
        <v>152</v>
      </c>
      <c r="F24" s="12" t="s">
        <v>155</v>
      </c>
      <c r="G24" s="12" t="s">
        <v>169</v>
      </c>
      <c r="H24" s="12" t="s">
        <v>169</v>
      </c>
      <c r="I24" s="12" t="s">
        <v>339</v>
      </c>
      <c r="J24" s="12" t="s">
        <v>361</v>
      </c>
    </row>
    <row customHeight="1" ht="33" r="25">
      <c r="B25" s="12">
        <f>HYPERLINK("https://gesdoc.uis.edu.co/share/page/folder-details?nodeRef=workspace://SpacesStore/b9c15914-b792-4abe-bdb2-7e023c89f556","0018_2026002334_4259")</f>
      </c>
      <c r="C25" s="12" t="s">
        <v>36</v>
      </c>
      <c r="D25" s="13" t="s">
        <v>147</v>
      </c>
      <c r="E25" s="12" t="s">
        <v>152</v>
      </c>
      <c r="F25" s="12" t="s">
        <v>156</v>
      </c>
      <c r="G25" s="12" t="s">
        <v>170</v>
      </c>
      <c r="H25" s="12" t="s">
        <v>278</v>
      </c>
      <c r="I25" s="12">
        <v>4259</v>
      </c>
      <c r="J25" s="12" t="s">
        <v>362</v>
      </c>
    </row>
    <row customHeight="1" ht="33" r="26">
      <c r="B26" s="12">
        <f>HYPERLINK("https://gesdoc.uis.edu.co/share/page/folder-details?nodeRef=workspace://SpacesStore/5c03b610-c756-4a0a-9e92-8138ae9d774f","0018_2026002454_8060")</f>
      </c>
      <c r="C26" s="12" t="s">
        <v>37</v>
      </c>
      <c r="D26" s="13" t="s">
        <v>145</v>
      </c>
      <c r="E26" s="12" t="s">
        <v>152</v>
      </c>
      <c r="F26" s="12" t="s">
        <v>155</v>
      </c>
      <c r="G26" s="12" t="s">
        <v>171</v>
      </c>
      <c r="H26" s="12" t="s">
        <v>279</v>
      </c>
      <c r="I26" s="12" t="s">
        <v>338</v>
      </c>
      <c r="J26" s="12" t="s">
        <v>360</v>
      </c>
    </row>
    <row customHeight="1" ht="33" r="27">
      <c r="B27" s="12">
        <f>HYPERLINK("https://gesdoc.uis.edu.co/share/page/folder-details?nodeRef=workspace://SpacesStore/0b197d3c-a625-436b-ad21-9a1e2882c5f9","0018_2026002449_8271")</f>
      </c>
      <c r="C27" s="12" t="s">
        <v>38</v>
      </c>
      <c r="D27" s="13" t="s">
        <v>145</v>
      </c>
      <c r="E27" s="12" t="s">
        <v>152</v>
      </c>
      <c r="F27" s="12" t="s">
        <v>155</v>
      </c>
      <c r="G27" s="12" t="s">
        <v>172</v>
      </c>
      <c r="H27" s="12" t="s">
        <v>280</v>
      </c>
      <c r="I27" s="12" t="s">
        <v>340</v>
      </c>
      <c r="J27" s="12" t="s">
        <v>363</v>
      </c>
    </row>
    <row customHeight="1" ht="33" r="28">
      <c r="B28" s="12">
        <f>HYPERLINK("https://gesdoc.uis.edu.co/share/page/folder-details?nodeRef=workspace://SpacesStore/6c671dc5-5db7-4d41-8910-f592ddb79527","0018_2026002436_8271")</f>
      </c>
      <c r="C28" s="12" t="s">
        <v>39</v>
      </c>
      <c r="D28" s="13" t="s">
        <v>145</v>
      </c>
      <c r="E28" s="12" t="s">
        <v>152</v>
      </c>
      <c r="F28" s="12" t="s">
        <v>155</v>
      </c>
      <c r="G28" s="12" t="s">
        <v>173</v>
      </c>
      <c r="H28" s="12" t="s">
        <v>281</v>
      </c>
      <c r="I28" s="12" t="s">
        <v>340</v>
      </c>
      <c r="J28" s="12" t="s">
        <v>363</v>
      </c>
    </row>
    <row customHeight="1" ht="33" r="29">
      <c r="B29" s="12">
        <f>HYPERLINK("https://gesdoc.uis.edu.co/share/page/folder-details?nodeRef=workspace://SpacesStore/edb7b629-3ffe-4637-b5c3-d9db2ffa0328","0018_2026002444_8060")</f>
      </c>
      <c r="C29" s="12" t="s">
        <v>40</v>
      </c>
      <c r="D29" s="13" t="s">
        <v>145</v>
      </c>
      <c r="E29" s="12" t="s">
        <v>152</v>
      </c>
      <c r="F29" s="12" t="s">
        <v>155</v>
      </c>
      <c r="G29" s="12" t="s">
        <v>174</v>
      </c>
      <c r="H29" s="12" t="s">
        <v>282</v>
      </c>
      <c r="I29" s="12" t="s">
        <v>338</v>
      </c>
      <c r="J29" s="12" t="s">
        <v>360</v>
      </c>
    </row>
    <row customHeight="1" ht="33" r="30">
      <c r="B30" s="12">
        <f>HYPERLINK("https://gesdoc.uis.edu.co/share/page/folder-details?nodeRef=workspace://SpacesStore/66fcce08-f24d-402f-b87f-8c3c79abc4ce","0018_2026002445_8060")</f>
      </c>
      <c r="C30" s="12" t="s">
        <v>41</v>
      </c>
      <c r="D30" s="13" t="s">
        <v>145</v>
      </c>
      <c r="E30" s="12" t="s">
        <v>152</v>
      </c>
      <c r="F30" s="12" t="s">
        <v>155</v>
      </c>
      <c r="G30" s="12" t="s">
        <v>171</v>
      </c>
      <c r="H30" s="12" t="s">
        <v>283</v>
      </c>
      <c r="I30" s="12" t="s">
        <v>338</v>
      </c>
      <c r="J30" s="12" t="s">
        <v>360</v>
      </c>
    </row>
    <row customHeight="1" ht="33" r="31">
      <c r="B31" s="12">
        <f>HYPERLINK("https://gesdoc.uis.edu.co/share/page/folder-details?nodeRef=workspace://SpacesStore/1ff5d3f5-9c4d-4e9e-bfb9-6b69623a1120","0018_2026002214_8054")</f>
      </c>
      <c r="C31" s="12" t="s">
        <v>42</v>
      </c>
      <c r="D31" s="13" t="s">
        <v>145</v>
      </c>
      <c r="E31" s="12" t="s">
        <v>152</v>
      </c>
      <c r="F31" s="12" t="s">
        <v>155</v>
      </c>
      <c r="G31" s="12" t="s">
        <v>175</v>
      </c>
      <c r="H31" s="12" t="s">
        <v>284</v>
      </c>
      <c r="I31" s="12" t="s">
        <v>341</v>
      </c>
      <c r="J31" s="12" t="s">
        <v>364</v>
      </c>
    </row>
    <row customHeight="1" ht="33" r="32">
      <c r="B32" s="12">
        <f>HYPERLINK("https://gesdoc.uis.edu.co/share/page/folder-details?nodeRef=workspace://SpacesStore/09d026c8-8278-4358-893d-32f85f6475b7","0018_2026002213_8054")</f>
      </c>
      <c r="C32" s="12" t="s">
        <v>43</v>
      </c>
      <c r="D32" s="13" t="s">
        <v>145</v>
      </c>
      <c r="E32" s="12" t="s">
        <v>152</v>
      </c>
      <c r="F32" s="12" t="s">
        <v>155</v>
      </c>
      <c r="G32" s="12" t="s">
        <v>176</v>
      </c>
      <c r="H32" s="12" t="s">
        <v>285</v>
      </c>
      <c r="I32" s="12" t="s">
        <v>341</v>
      </c>
      <c r="J32" s="12" t="s">
        <v>364</v>
      </c>
    </row>
    <row customHeight="1" ht="33" r="33">
      <c r="B33" s="12">
        <f>HYPERLINK("https://gesdoc.uis.edu.co/share/page/folder-details?nodeRef=workspace://SpacesStore/a4b6eeb2-8cee-49d6-b7de-af443570030b","0018_2026002211_8054")</f>
      </c>
      <c r="C33" s="12" t="s">
        <v>44</v>
      </c>
      <c r="D33" s="13" t="s">
        <v>145</v>
      </c>
      <c r="E33" s="12" t="s">
        <v>152</v>
      </c>
      <c r="F33" s="12" t="s">
        <v>155</v>
      </c>
      <c r="G33" s="12" t="s">
        <v>176</v>
      </c>
      <c r="H33" s="12" t="s">
        <v>286</v>
      </c>
      <c r="I33" s="12" t="s">
        <v>341</v>
      </c>
      <c r="J33" s="12" t="s">
        <v>364</v>
      </c>
    </row>
    <row customHeight="1" ht="33" r="34">
      <c r="B34" s="12">
        <f>HYPERLINK("https://gesdoc.uis.edu.co/share/page/folder-details?nodeRef=workspace://SpacesStore/9670c9b7-6cd0-4e5b-a7e2-0ca0d53cffad","0018_2026002212_8054")</f>
      </c>
      <c r="C34" s="12" t="s">
        <v>45</v>
      </c>
      <c r="D34" s="13" t="s">
        <v>145</v>
      </c>
      <c r="E34" s="12" t="s">
        <v>152</v>
      </c>
      <c r="F34" s="12" t="s">
        <v>155</v>
      </c>
      <c r="G34" s="12" t="s">
        <v>176</v>
      </c>
      <c r="H34" s="12" t="s">
        <v>287</v>
      </c>
      <c r="I34" s="12" t="s">
        <v>341</v>
      </c>
      <c r="J34" s="12" t="s">
        <v>364</v>
      </c>
    </row>
    <row customHeight="1" ht="33" r="35">
      <c r="B35" s="12">
        <f>HYPERLINK("https://gesdoc.uis.edu.co/share/page/folder-details?nodeRef=workspace://SpacesStore/43ece49b-18da-4f50-a38f-9c5b7ca57f48","0018_2026002266_4649")</f>
      </c>
      <c r="C35" s="12" t="s">
        <v>46</v>
      </c>
      <c r="D35" s="13" t="s">
        <v>148</v>
      </c>
      <c r="E35" s="12" t="s">
        <v>152</v>
      </c>
      <c r="F35" s="12" t="s">
        <v>153</v>
      </c>
      <c r="G35" s="12" t="s">
        <v>177</v>
      </c>
      <c r="H35" s="12" t="s">
        <v>177</v>
      </c>
      <c r="I35" s="12">
        <v>4649</v>
      </c>
      <c r="J35" s="12" t="s">
        <v>365</v>
      </c>
    </row>
    <row customHeight="1" ht="33" r="36">
      <c r="B36" s="12">
        <f>HYPERLINK("https://gesdoc.uis.edu.co/share/page/folder-details?nodeRef=workspace://SpacesStore/b6219283-6063-4ad0-bc5c-8d33d197cb22","0020_2026000257_4498")</f>
      </c>
      <c r="C36" s="12" t="s">
        <v>47</v>
      </c>
      <c r="D36" s="13" t="s">
        <v>146</v>
      </c>
      <c r="E36" s="12" t="s">
        <v>152</v>
      </c>
      <c r="F36" s="12" t="s">
        <v>156</v>
      </c>
      <c r="G36" s="12" t="s">
        <v>178</v>
      </c>
      <c r="H36" s="12" t="s">
        <v>288</v>
      </c>
      <c r="I36" s="12">
        <v>4498</v>
      </c>
      <c r="J36" s="12" t="s">
        <v>359</v>
      </c>
    </row>
    <row customHeight="1" ht="33" r="37">
      <c r="B37" s="12">
        <f>HYPERLINK("https://gesdoc.uis.edu.co/share/page/folder-details?nodeRef=workspace://SpacesStore/4baa2622-ff25-47a1-bebc-9ec3bceb59e5","0018_2026002288_4617")</f>
      </c>
      <c r="C37" s="12" t="s">
        <v>48</v>
      </c>
      <c r="D37" s="13" t="s">
        <v>146</v>
      </c>
      <c r="E37" s="12" t="s">
        <v>152</v>
      </c>
      <c r="F37" s="12" t="s">
        <v>156</v>
      </c>
      <c r="G37" s="12" t="s">
        <v>179</v>
      </c>
      <c r="H37" s="12" t="s">
        <v>289</v>
      </c>
      <c r="I37" s="12">
        <v>4617</v>
      </c>
      <c r="J37" s="12" t="s">
        <v>365</v>
      </c>
    </row>
    <row customHeight="1" ht="33" r="38">
      <c r="B38" s="12">
        <f>HYPERLINK("https://gesdoc.uis.edu.co/share/page/folder-details?nodeRef=workspace://SpacesStore/cfbc9a9d-6a82-412b-89e7-ec64338809de","0018_2026002341_8090")</f>
      </c>
      <c r="C38" s="12" t="s">
        <v>49</v>
      </c>
      <c r="D38" s="13" t="s">
        <v>145</v>
      </c>
      <c r="E38" s="12" t="s">
        <v>152</v>
      </c>
      <c r="F38" s="12" t="s">
        <v>155</v>
      </c>
      <c r="G38" s="12" t="s">
        <v>180</v>
      </c>
      <c r="H38" s="12" t="s">
        <v>290</v>
      </c>
      <c r="I38" s="12" t="s">
        <v>336</v>
      </c>
      <c r="J38" s="12" t="s">
        <v>358</v>
      </c>
    </row>
    <row customHeight="1" ht="33" r="39">
      <c r="B39" s="12">
        <f>HYPERLINK("https://gesdoc.uis.edu.co/share/page/folder-details?nodeRef=workspace://SpacesStore/92fa4661-aa50-4561-acf9-338fba8f2c75","0020_2026000269_8052")</f>
      </c>
      <c r="C39" s="12" t="s">
        <v>50</v>
      </c>
      <c r="D39" s="13" t="s">
        <v>145</v>
      </c>
      <c r="E39" s="12" t="s">
        <v>152</v>
      </c>
      <c r="F39" s="12" t="s">
        <v>155</v>
      </c>
      <c r="G39" s="12" t="s">
        <v>181</v>
      </c>
      <c r="H39" s="12" t="s">
        <v>291</v>
      </c>
      <c r="I39" s="12" t="s">
        <v>342</v>
      </c>
      <c r="J39" s="12" t="s">
        <v>366</v>
      </c>
    </row>
    <row customHeight="1" ht="33" r="40">
      <c r="B40" s="12">
        <f>HYPERLINK("https://gesdoc.uis.edu.co/share/page/folder-details?nodeRef=workspace://SpacesStore/5051e5a9-32e5-4bb8-a7de-a734656d2971","0018_2026002318_8089")</f>
      </c>
      <c r="C40" s="12" t="s">
        <v>51</v>
      </c>
      <c r="D40" s="13" t="s">
        <v>145</v>
      </c>
      <c r="E40" s="12" t="s">
        <v>152</v>
      </c>
      <c r="F40" s="12" t="s">
        <v>155</v>
      </c>
      <c r="G40" s="12" t="s">
        <v>182</v>
      </c>
      <c r="H40" s="12" t="s">
        <v>292</v>
      </c>
      <c r="I40" s="12" t="s">
        <v>343</v>
      </c>
      <c r="J40" s="12" t="s">
        <v>367</v>
      </c>
    </row>
    <row customHeight="1" ht="33" r="41">
      <c r="B41" s="12">
        <f>HYPERLINK("https://gesdoc.uis.edu.co/share/page/folder-details?nodeRef=workspace://SpacesStore/27304ff3-99dc-4996-ab0b-326a4e296230","0020_2026000286_8096")</f>
      </c>
      <c r="C41" s="12" t="s">
        <v>52</v>
      </c>
      <c r="D41" s="13" t="s">
        <v>145</v>
      </c>
      <c r="E41" s="12" t="s">
        <v>152</v>
      </c>
      <c r="F41" s="12" t="s">
        <v>155</v>
      </c>
      <c r="G41" s="12" t="s">
        <v>183</v>
      </c>
      <c r="H41" s="12" t="s">
        <v>183</v>
      </c>
      <c r="I41" s="12" t="s">
        <v>337</v>
      </c>
      <c r="J41" s="12" t="s">
        <v>356</v>
      </c>
    </row>
    <row customHeight="1" ht="33" r="42">
      <c r="B42" s="12">
        <f>HYPERLINK("https://gesdoc.uis.edu.co/share/page/folder-details?nodeRef=workspace://SpacesStore/facf0cad-4cfb-4f0d-ace7-a54a0c230d9a","0018_2026002298_8089")</f>
      </c>
      <c r="C42" s="12" t="s">
        <v>53</v>
      </c>
      <c r="D42" s="13" t="s">
        <v>145</v>
      </c>
      <c r="E42" s="12" t="s">
        <v>152</v>
      </c>
      <c r="F42" s="12" t="s">
        <v>155</v>
      </c>
      <c r="G42" s="12" t="s">
        <v>184</v>
      </c>
      <c r="H42" s="12" t="s">
        <v>293</v>
      </c>
      <c r="I42" s="12" t="s">
        <v>343</v>
      </c>
      <c r="J42" s="12" t="s">
        <v>367</v>
      </c>
    </row>
    <row customHeight="1" ht="33" r="43">
      <c r="B43" s="12">
        <f>HYPERLINK("https://gesdoc.uis.edu.co/share/page/folder-details?nodeRef=workspace://SpacesStore/bca131b8-07a6-4479-aebe-fd16d9fc708a","0018_2026002367_4247")</f>
      </c>
      <c r="C43" s="12" t="s">
        <v>54</v>
      </c>
      <c r="D43" s="13" t="s">
        <v>144</v>
      </c>
      <c r="E43" s="12" t="s">
        <v>152</v>
      </c>
      <c r="F43" s="12" t="s">
        <v>156</v>
      </c>
      <c r="G43" s="12" t="s">
        <v>185</v>
      </c>
      <c r="H43" s="12" t="s">
        <v>185</v>
      </c>
      <c r="I43" s="12">
        <v>4247</v>
      </c>
      <c r="J43" s="12" t="s">
        <v>368</v>
      </c>
    </row>
    <row customHeight="1" ht="33" r="44">
      <c r="B44" s="12">
        <f>HYPERLINK("https://gesdoc.uis.edu.co/share/page/folder-details?nodeRef=workspace://SpacesStore/8b6bc41d-8422-47e5-9376-10676469c1c4","0020_2026000278_8096")</f>
      </c>
      <c r="C44" s="12" t="s">
        <v>55</v>
      </c>
      <c r="D44" s="13" t="s">
        <v>145</v>
      </c>
      <c r="E44" s="12" t="s">
        <v>152</v>
      </c>
      <c r="F44" s="12" t="s">
        <v>155</v>
      </c>
      <c r="G44" s="12" t="s">
        <v>186</v>
      </c>
      <c r="H44" s="12" t="s">
        <v>294</v>
      </c>
      <c r="I44" s="12" t="s">
        <v>337</v>
      </c>
      <c r="J44" s="12" t="s">
        <v>356</v>
      </c>
    </row>
    <row customHeight="1" ht="33" r="45">
      <c r="B45" s="12">
        <f>HYPERLINK("https://gesdoc.uis.edu.co/share/page/folder-details?nodeRef=workspace://SpacesStore/e628bbb2-846d-4487-a21a-4031074f5e6b","0020_2026000264_8085")</f>
      </c>
      <c r="C45" s="12" t="s">
        <v>56</v>
      </c>
      <c r="D45" s="13" t="s">
        <v>145</v>
      </c>
      <c r="E45" s="12" t="s">
        <v>152</v>
      </c>
      <c r="F45" s="12" t="s">
        <v>155</v>
      </c>
      <c r="G45" s="12" t="s">
        <v>187</v>
      </c>
      <c r="H45" s="12" t="s">
        <v>295</v>
      </c>
      <c r="I45" s="12" t="s">
        <v>344</v>
      </c>
      <c r="J45" s="12" t="s">
        <v>369</v>
      </c>
    </row>
    <row customHeight="1" ht="33" r="46">
      <c r="B46" s="12">
        <f>HYPERLINK("https://gesdoc.uis.edu.co/share/page/folder-details?nodeRef=workspace://SpacesStore/d8937954-d300-42d3-8651-49016664c95a","0018_2026002397_4672")</f>
      </c>
      <c r="C46" s="12" t="s">
        <v>57</v>
      </c>
      <c r="D46" s="13" t="s">
        <v>144</v>
      </c>
      <c r="E46" s="12" t="s">
        <v>152</v>
      </c>
      <c r="F46" s="12" t="s">
        <v>153</v>
      </c>
      <c r="G46" s="12" t="s">
        <v>188</v>
      </c>
      <c r="H46" s="12" t="s">
        <v>188</v>
      </c>
      <c r="I46" s="12">
        <v>4672</v>
      </c>
      <c r="J46" s="12" t="s">
        <v>370</v>
      </c>
    </row>
    <row customHeight="1" ht="33" r="47">
      <c r="B47" s="12">
        <f>HYPERLINK("https://gesdoc.uis.edu.co/share/page/folder-details?nodeRef=workspace://SpacesStore/e6fd495d-51e4-4ab2-b609-37a4589b1587","0020_2026000294_8096")</f>
      </c>
      <c r="C47" s="12" t="s">
        <v>58</v>
      </c>
      <c r="D47" s="13" t="s">
        <v>145</v>
      </c>
      <c r="E47" s="12" t="s">
        <v>152</v>
      </c>
      <c r="F47" s="12" t="s">
        <v>155</v>
      </c>
      <c r="G47" s="12" t="s">
        <v>189</v>
      </c>
      <c r="H47" s="12" t="s">
        <v>189</v>
      </c>
      <c r="I47" s="12" t="s">
        <v>337</v>
      </c>
      <c r="J47" s="12" t="s">
        <v>356</v>
      </c>
    </row>
    <row customHeight="1" ht="33" r="48">
      <c r="B48" s="12">
        <f>HYPERLINK("https://gesdoc.uis.edu.co/share/page/folder-details?nodeRef=workspace://SpacesStore/3ad71a6e-d370-4ef3-9180-2b6abd72273f","0020_2026000288_8096")</f>
      </c>
      <c r="C48" s="12" t="s">
        <v>59</v>
      </c>
      <c r="D48" s="13" t="s">
        <v>145</v>
      </c>
      <c r="E48" s="12" t="s">
        <v>152</v>
      </c>
      <c r="F48" s="12" t="s">
        <v>155</v>
      </c>
      <c r="G48" s="12" t="s">
        <v>190</v>
      </c>
      <c r="H48" s="12" t="s">
        <v>296</v>
      </c>
      <c r="I48" s="12" t="s">
        <v>337</v>
      </c>
      <c r="J48" s="12" t="s">
        <v>356</v>
      </c>
    </row>
    <row customHeight="1" ht="33" r="49">
      <c r="B49" s="12">
        <f>HYPERLINK("https://gesdoc.uis.edu.co/share/page/folder-details?nodeRef=workspace://SpacesStore/3d596236-d0c1-42d8-95d0-e6cec8a0f317","0018_2026002287_4619")</f>
      </c>
      <c r="C49" s="12" t="s">
        <v>60</v>
      </c>
      <c r="D49" s="13" t="s">
        <v>146</v>
      </c>
      <c r="E49" s="12" t="s">
        <v>152</v>
      </c>
      <c r="F49" s="12" t="s">
        <v>156</v>
      </c>
      <c r="G49" s="12" t="s">
        <v>191</v>
      </c>
      <c r="H49" s="12" t="s">
        <v>191</v>
      </c>
      <c r="I49" s="12">
        <v>4619</v>
      </c>
      <c r="J49" s="12" t="s">
        <v>365</v>
      </c>
    </row>
    <row customHeight="1" ht="33" r="50">
      <c r="B50" s="12">
        <f>HYPERLINK("https://gesdoc.uis.edu.co/share/page/folder-details?nodeRef=workspace://SpacesStore/5d259720-26ed-4ed3-b220-bffb019b947b","0018_2026002286_8087")</f>
      </c>
      <c r="C50" s="12" t="s">
        <v>61</v>
      </c>
      <c r="D50" s="13" t="s">
        <v>145</v>
      </c>
      <c r="E50" s="12" t="s">
        <v>152</v>
      </c>
      <c r="F50" s="12" t="s">
        <v>155</v>
      </c>
      <c r="G50" s="12" t="s">
        <v>192</v>
      </c>
      <c r="H50" s="12" t="s">
        <v>297</v>
      </c>
      <c r="I50" s="12" t="s">
        <v>345</v>
      </c>
      <c r="J50" s="12" t="s">
        <v>371</v>
      </c>
    </row>
    <row customHeight="1" ht="33" r="51">
      <c r="B51" s="12">
        <f>HYPERLINK("https://gesdoc.uis.edu.co/share/page/folder-details?nodeRef=workspace://SpacesStore/8eb8f0c2-dda6-4922-90d4-b62eca9da638","0018_2026002330_8288")</f>
      </c>
      <c r="C51" s="12" t="s">
        <v>62</v>
      </c>
      <c r="D51" s="13" t="s">
        <v>145</v>
      </c>
      <c r="E51" s="12" t="s">
        <v>152</v>
      </c>
      <c r="F51" s="12" t="s">
        <v>155</v>
      </c>
      <c r="G51" s="12" t="s">
        <v>193</v>
      </c>
      <c r="H51" s="12" t="s">
        <v>298</v>
      </c>
      <c r="I51" s="12" t="s">
        <v>346</v>
      </c>
      <c r="J51" s="12" t="s">
        <v>372</v>
      </c>
    </row>
    <row customHeight="1" ht="33" r="52">
      <c r="B52" s="12">
        <f>HYPERLINK("https://gesdoc.uis.edu.co/share/page/folder-details?nodeRef=workspace://SpacesStore/806bbd9a-301c-4bea-aa31-63cb4530945f","0020_2026000322_4612")</f>
      </c>
      <c r="C52" s="12" t="s">
        <v>63</v>
      </c>
      <c r="D52" s="13" t="s">
        <v>148</v>
      </c>
      <c r="E52" s="12" t="s">
        <v>152</v>
      </c>
      <c r="F52" s="12" t="s">
        <v>156</v>
      </c>
      <c r="G52" s="12" t="s">
        <v>194</v>
      </c>
      <c r="H52" s="12" t="s">
        <v>299</v>
      </c>
      <c r="I52" s="12">
        <v>4612</v>
      </c>
      <c r="J52" s="12" t="s">
        <v>359</v>
      </c>
    </row>
    <row customHeight="1" ht="33" r="53">
      <c r="B53" s="12">
        <f>HYPERLINK("https://gesdoc.uis.edu.co/share/page/folder-details?nodeRef=workspace://SpacesStore/f096a282-fcd5-4b11-9240-b3a92bea88dd","0020_2026000297_4644")</f>
      </c>
      <c r="C53" s="12" t="s">
        <v>64</v>
      </c>
      <c r="D53" s="13" t="s">
        <v>148</v>
      </c>
      <c r="E53" s="12" t="s">
        <v>152</v>
      </c>
      <c r="F53" s="12" t="s">
        <v>156</v>
      </c>
      <c r="G53" s="12" t="s">
        <v>195</v>
      </c>
      <c r="H53" s="12" t="s">
        <v>299</v>
      </c>
      <c r="I53" s="12">
        <v>4644</v>
      </c>
      <c r="J53" s="12" t="s">
        <v>359</v>
      </c>
    </row>
    <row customHeight="1" ht="33" r="54">
      <c r="B54" s="12">
        <f>HYPERLINK("https://gesdoc.uis.edu.co/share/page/folder-details?nodeRef=workspace://SpacesStore/39d87335-1fde-4be5-a266-da495ea1f3fd","0020_2026000287_8096")</f>
      </c>
      <c r="C54" s="12" t="s">
        <v>65</v>
      </c>
      <c r="D54" s="13" t="s">
        <v>145</v>
      </c>
      <c r="E54" s="12" t="s">
        <v>152</v>
      </c>
      <c r="F54" s="12" t="s">
        <v>155</v>
      </c>
      <c r="G54" s="12" t="s">
        <v>196</v>
      </c>
      <c r="H54" s="12" t="s">
        <v>196</v>
      </c>
      <c r="I54" s="12" t="s">
        <v>337</v>
      </c>
      <c r="J54" s="12" t="s">
        <v>356</v>
      </c>
    </row>
    <row customHeight="1" ht="33" r="55">
      <c r="B55" s="12">
        <f>HYPERLINK("https://gesdoc.uis.edu.co/share/page/folder-details?nodeRef=workspace://SpacesStore/661deb10-cf27-4282-a3fd-3f36fd47f78b","0018_2026002327_8944")</f>
      </c>
      <c r="C55" s="12" t="s">
        <v>66</v>
      </c>
      <c r="D55" s="13" t="s">
        <v>149</v>
      </c>
      <c r="E55" s="12" t="s">
        <v>152</v>
      </c>
      <c r="F55" s="12" t="s">
        <v>157</v>
      </c>
      <c r="G55" s="12" t="s">
        <v>197</v>
      </c>
      <c r="H55" s="12" t="s">
        <v>300</v>
      </c>
      <c r="I55" s="12" t="s">
        <v>347</v>
      </c>
      <c r="J55" s="12" t="s">
        <v>373</v>
      </c>
    </row>
    <row customHeight="1" ht="33" r="56">
      <c r="B56" s="12">
        <f>HYPERLINK("https://gesdoc.uis.edu.co/share/page/folder-details?nodeRef=workspace://SpacesStore/12ebecc2-ede3-472f-a977-97213c1e58ee","0020_2026000336_8052")</f>
      </c>
      <c r="C56" s="12" t="s">
        <v>67</v>
      </c>
      <c r="D56" s="13" t="s">
        <v>145</v>
      </c>
      <c r="E56" s="12" t="s">
        <v>152</v>
      </c>
      <c r="F56" s="12" t="s">
        <v>155</v>
      </c>
      <c r="G56" s="12" t="s">
        <v>198</v>
      </c>
      <c r="H56" s="12" t="s">
        <v>301</v>
      </c>
      <c r="I56" s="12" t="s">
        <v>342</v>
      </c>
      <c r="J56" s="12" t="s">
        <v>366</v>
      </c>
    </row>
    <row customHeight="1" ht="33" r="57">
      <c r="B57" s="12">
        <f>HYPERLINK("https://gesdoc.uis.edu.co/share/page/folder-details?nodeRef=workspace://SpacesStore/2ac8ffcd-5a64-4a2a-9137-4cdea8c865cc","0020_2026000308_8096")</f>
      </c>
      <c r="C57" s="12" t="s">
        <v>68</v>
      </c>
      <c r="D57" s="13" t="s">
        <v>145</v>
      </c>
      <c r="E57" s="12" t="s">
        <v>152</v>
      </c>
      <c r="F57" s="12" t="s">
        <v>155</v>
      </c>
      <c r="G57" s="12" t="s">
        <v>199</v>
      </c>
      <c r="H57" s="12" t="s">
        <v>222</v>
      </c>
      <c r="I57" s="12" t="s">
        <v>337</v>
      </c>
      <c r="J57" s="12" t="s">
        <v>356</v>
      </c>
    </row>
    <row customHeight="1" ht="33" r="58">
      <c r="B58" s="12">
        <f>HYPERLINK("https://gesdoc.uis.edu.co/share/page/folder-details?nodeRef=workspace://SpacesStore/0ea5e2e4-a921-49db-b146-9f22531e3a86","0018_2026002490_4624")</f>
      </c>
      <c r="C58" s="12" t="s">
        <v>69</v>
      </c>
      <c r="D58" s="13" t="s">
        <v>150</v>
      </c>
      <c r="E58" s="12" t="s">
        <v>152</v>
      </c>
      <c r="F58" s="12" t="s">
        <v>156</v>
      </c>
      <c r="G58" s="12" t="s">
        <v>200</v>
      </c>
      <c r="H58" s="12" t="s">
        <v>200</v>
      </c>
      <c r="I58" s="12">
        <v>4624</v>
      </c>
      <c r="J58" s="12" t="s">
        <v>374</v>
      </c>
    </row>
    <row customHeight="1" ht="33" r="59">
      <c r="B59" s="12">
        <f>HYPERLINK("https://gesdoc.uis.edu.co/share/page/folder-details?nodeRef=workspace://SpacesStore/9370b6e5-405f-40c9-9bbf-45602e4d60de","0020_2026000344_8944")</f>
      </c>
      <c r="C59" s="12" t="s">
        <v>70</v>
      </c>
      <c r="D59" s="13" t="s">
        <v>149</v>
      </c>
      <c r="E59" s="12" t="s">
        <v>152</v>
      </c>
      <c r="F59" s="12" t="s">
        <v>157</v>
      </c>
      <c r="G59" s="12" t="s">
        <v>201</v>
      </c>
      <c r="H59" s="12" t="s">
        <v>302</v>
      </c>
      <c r="I59" s="12" t="s">
        <v>347</v>
      </c>
      <c r="J59" s="12" t="s">
        <v>375</v>
      </c>
    </row>
    <row customHeight="1" ht="33" r="60">
      <c r="B60" s="12">
        <f>HYPERLINK("https://gesdoc.uis.edu.co/share/page/folder-details?nodeRef=workspace://SpacesStore/5b1963a4-5b9a-4ecb-8705-a9eb4573a78f","0020_2026000310_8944")</f>
      </c>
      <c r="C60" s="12" t="s">
        <v>71</v>
      </c>
      <c r="D60" s="13" t="s">
        <v>149</v>
      </c>
      <c r="E60" s="12" t="s">
        <v>152</v>
      </c>
      <c r="F60" s="12" t="s">
        <v>157</v>
      </c>
      <c r="G60" s="12" t="s">
        <v>202</v>
      </c>
      <c r="H60" s="12" t="s">
        <v>303</v>
      </c>
      <c r="I60" s="12" t="s">
        <v>347</v>
      </c>
      <c r="J60" s="12" t="s">
        <v>375</v>
      </c>
    </row>
    <row customHeight="1" ht="33" r="61">
      <c r="B61" s="12">
        <f>HYPERLINK("https://gesdoc.uis.edu.co/share/page/folder-details?nodeRef=workspace://SpacesStore/bef13e70-af7a-422b-b45e-2513d726a526","0020_2026000305_8944")</f>
      </c>
      <c r="C61" s="12" t="s">
        <v>72</v>
      </c>
      <c r="D61" s="13" t="s">
        <v>149</v>
      </c>
      <c r="E61" s="12" t="s">
        <v>152</v>
      </c>
      <c r="F61" s="12" t="s">
        <v>157</v>
      </c>
      <c r="G61" s="12" t="s">
        <v>203</v>
      </c>
      <c r="H61" s="12" t="s">
        <v>304</v>
      </c>
      <c r="I61" s="12" t="s">
        <v>347</v>
      </c>
      <c r="J61" s="12" t="s">
        <v>375</v>
      </c>
    </row>
    <row customHeight="1" ht="33" r="62">
      <c r="B62" s="12">
        <f>HYPERLINK("https://gesdoc.uis.edu.co/share/page/folder-details?nodeRef=workspace://SpacesStore/85c4ff1a-df10-4f10-a9ba-682b071be568","0018_2026002359_8944")</f>
      </c>
      <c r="C62" s="12" t="s">
        <v>73</v>
      </c>
      <c r="D62" s="13" t="s">
        <v>149</v>
      </c>
      <c r="E62" s="12" t="s">
        <v>152</v>
      </c>
      <c r="F62" s="12" t="s">
        <v>157</v>
      </c>
      <c r="G62" s="12" t="s">
        <v>204</v>
      </c>
      <c r="H62" s="12" t="s">
        <v>305</v>
      </c>
      <c r="I62" s="12" t="s">
        <v>347</v>
      </c>
      <c r="J62" s="12" t="s">
        <v>373</v>
      </c>
    </row>
    <row customHeight="1" ht="33" r="63">
      <c r="B63" s="12">
        <f>HYPERLINK("https://gesdoc.uis.edu.co/share/page/folder-details?nodeRef=workspace://SpacesStore/ae53e341-cf5c-4113-b0de-157f9f8db5ab","0234_2025007956_8943")</f>
      </c>
      <c r="C63" s="12" t="s">
        <v>74</v>
      </c>
      <c r="D63" s="13" t="s">
        <v>151</v>
      </c>
      <c r="E63" s="12" t="s">
        <v>152</v>
      </c>
      <c r="F63" s="12" t="s">
        <v>157</v>
      </c>
      <c r="G63" s="12" t="s">
        <v>205</v>
      </c>
      <c r="H63" s="12" t="s">
        <v>205</v>
      </c>
      <c r="I63" s="12" t="s">
        <v>348</v>
      </c>
      <c r="J63" s="12" t="s">
        <v>376</v>
      </c>
    </row>
    <row customHeight="1" ht="33" r="64">
      <c r="B64" s="12">
        <f>HYPERLINK("https://gesdoc.uis.edu.co/share/page/folder-details?nodeRef=workspace://SpacesStore/50a8b0d5-df39-4bae-97cf-f27a2186fbda","0234_2025007957_8943")</f>
      </c>
      <c r="C64" s="12" t="s">
        <v>75</v>
      </c>
      <c r="D64" s="13" t="s">
        <v>151</v>
      </c>
      <c r="E64" s="12" t="s">
        <v>152</v>
      </c>
      <c r="F64" s="12" t="s">
        <v>157</v>
      </c>
      <c r="G64" s="12" t="s">
        <v>206</v>
      </c>
      <c r="H64" s="12" t="s">
        <v>206</v>
      </c>
      <c r="I64" s="12" t="s">
        <v>348</v>
      </c>
      <c r="J64" s="12" t="s">
        <v>376</v>
      </c>
    </row>
    <row customHeight="1" ht="33" r="65">
      <c r="B65" s="12">
        <f>HYPERLINK("https://gesdoc.uis.edu.co/share/page/folder-details?nodeRef=workspace://SpacesStore/c6bb4d95-69c7-4ceb-8635-cae0c01a0fb1","0234_2025008200_8943")</f>
      </c>
      <c r="C65" s="12" t="s">
        <v>76</v>
      </c>
      <c r="D65" s="13" t="s">
        <v>151</v>
      </c>
      <c r="E65" s="12" t="s">
        <v>152</v>
      </c>
      <c r="F65" s="12" t="s">
        <v>157</v>
      </c>
      <c r="G65" s="12" t="s">
        <v>207</v>
      </c>
      <c r="H65" s="12" t="s">
        <v>207</v>
      </c>
      <c r="I65" s="12" t="s">
        <v>348</v>
      </c>
      <c r="J65" s="12" t="s">
        <v>376</v>
      </c>
    </row>
    <row customHeight="1" ht="33" r="66">
      <c r="B66" s="12">
        <f>HYPERLINK("https://gesdoc.uis.edu.co/share/page/folder-details?nodeRef=workspace://SpacesStore/502ee95c-fec3-40e7-9b34-0e08eae8b8a0","0234_2025006425_8943")</f>
      </c>
      <c r="C66" s="12" t="s">
        <v>77</v>
      </c>
      <c r="D66" s="13" t="s">
        <v>151</v>
      </c>
      <c r="E66" s="12" t="s">
        <v>152</v>
      </c>
      <c r="F66" s="12" t="s">
        <v>157</v>
      </c>
      <c r="G66" s="12" t="s">
        <v>208</v>
      </c>
      <c r="H66" s="12" t="s">
        <v>208</v>
      </c>
      <c r="I66" s="12" t="s">
        <v>348</v>
      </c>
      <c r="J66" s="12" t="s">
        <v>376</v>
      </c>
    </row>
    <row customHeight="1" ht="33" r="67">
      <c r="B67" s="12">
        <f>HYPERLINK("https://gesdoc.uis.edu.co/share/page/folder-details?nodeRef=workspace://SpacesStore/f2cf6922-5801-46aa-bb4a-b15118c5debd","0234_2025006427_8943")</f>
      </c>
      <c r="C67" s="12" t="s">
        <v>78</v>
      </c>
      <c r="D67" s="13" t="s">
        <v>151</v>
      </c>
      <c r="E67" s="12" t="s">
        <v>152</v>
      </c>
      <c r="F67" s="12" t="s">
        <v>157</v>
      </c>
      <c r="G67" s="12" t="s">
        <v>205</v>
      </c>
      <c r="H67" s="12" t="s">
        <v>205</v>
      </c>
      <c r="I67" s="12" t="s">
        <v>348</v>
      </c>
      <c r="J67" s="12" t="s">
        <v>376</v>
      </c>
    </row>
    <row customHeight="1" ht="33" r="68">
      <c r="B68" s="12">
        <f>HYPERLINK("https://gesdoc.uis.edu.co/share/page/folder-details?nodeRef=workspace://SpacesStore/4e05ddbc-a129-48b3-a184-c062da8ad79f","0234_2025008198_8943")</f>
      </c>
      <c r="C68" s="12" t="s">
        <v>79</v>
      </c>
      <c r="D68" s="13" t="s">
        <v>151</v>
      </c>
      <c r="E68" s="12" t="s">
        <v>152</v>
      </c>
      <c r="F68" s="12" t="s">
        <v>157</v>
      </c>
      <c r="G68" s="12" t="s">
        <v>206</v>
      </c>
      <c r="H68" s="12" t="s">
        <v>206</v>
      </c>
      <c r="I68" s="12" t="s">
        <v>348</v>
      </c>
      <c r="J68" s="12" t="s">
        <v>376</v>
      </c>
    </row>
    <row customHeight="1" ht="33" r="69">
      <c r="B69" s="12">
        <f>HYPERLINK("https://gesdoc.uis.edu.co/share/page/folder-details?nodeRef=workspace://SpacesStore/9cab77fe-8ddc-4fab-87b4-46bdecc38c80","0234_2025008199_8943")</f>
      </c>
      <c r="C69" s="12" t="s">
        <v>80</v>
      </c>
      <c r="D69" s="13" t="s">
        <v>151</v>
      </c>
      <c r="E69" s="12" t="s">
        <v>152</v>
      </c>
      <c r="F69" s="12" t="s">
        <v>157</v>
      </c>
      <c r="G69" s="12" t="s">
        <v>207</v>
      </c>
      <c r="H69" s="12" t="s">
        <v>207</v>
      </c>
      <c r="I69" s="12" t="s">
        <v>348</v>
      </c>
      <c r="J69" s="12" t="s">
        <v>376</v>
      </c>
    </row>
    <row customHeight="1" ht="33" r="70">
      <c r="B70" s="12">
        <f>HYPERLINK("https://gesdoc.uis.edu.co/share/page/folder-details?nodeRef=workspace://SpacesStore/423a21e0-1063-4f38-bac4-1ef25c51557f","0018_2026002293_8943")</f>
      </c>
      <c r="C70" s="12" t="s">
        <v>81</v>
      </c>
      <c r="D70" s="13" t="s">
        <v>151</v>
      </c>
      <c r="E70" s="12" t="s">
        <v>152</v>
      </c>
      <c r="F70" s="12" t="s">
        <v>157</v>
      </c>
      <c r="G70" s="12" t="s">
        <v>209</v>
      </c>
      <c r="H70" s="12" t="s">
        <v>306</v>
      </c>
      <c r="I70" s="12" t="s">
        <v>349</v>
      </c>
      <c r="J70" s="12" t="s">
        <v>377</v>
      </c>
    </row>
    <row customHeight="1" ht="33" r="71">
      <c r="B71" s="12">
        <f>HYPERLINK("https://gesdoc.uis.edu.co/share/page/folder-details?nodeRef=workspace://SpacesStore/bd517c7b-4a2e-4d0a-a2d5-4d3c1e79a2fd","0234_2025008202_8943")</f>
      </c>
      <c r="C71" s="12" t="s">
        <v>82</v>
      </c>
      <c r="D71" s="13" t="s">
        <v>151</v>
      </c>
      <c r="E71" s="12" t="s">
        <v>152</v>
      </c>
      <c r="F71" s="12" t="s">
        <v>157</v>
      </c>
      <c r="G71" s="12" t="s">
        <v>210</v>
      </c>
      <c r="H71" s="12" t="s">
        <v>210</v>
      </c>
      <c r="I71" s="12" t="s">
        <v>348</v>
      </c>
      <c r="J71" s="12" t="s">
        <v>376</v>
      </c>
    </row>
    <row customHeight="1" ht="33" r="72">
      <c r="B72" s="12">
        <f>HYPERLINK("https://gesdoc.uis.edu.co/share/page/folder-details?nodeRef=workspace://SpacesStore/b252ef78-ee46-4709-9fbc-040fe2ac1bf3","0234_2025008204_8943")</f>
      </c>
      <c r="C72" s="12" t="s">
        <v>83</v>
      </c>
      <c r="D72" s="13" t="s">
        <v>151</v>
      </c>
      <c r="E72" s="12" t="s">
        <v>152</v>
      </c>
      <c r="F72" s="12" t="s">
        <v>157</v>
      </c>
      <c r="G72" s="12" t="s">
        <v>211</v>
      </c>
      <c r="H72" s="12" t="s">
        <v>213</v>
      </c>
      <c r="I72" s="12" t="s">
        <v>348</v>
      </c>
      <c r="J72" s="12" t="s">
        <v>376</v>
      </c>
    </row>
    <row customHeight="1" ht="33" r="73">
      <c r="B73" s="12">
        <f>HYPERLINK("https://gesdoc.uis.edu.co/share/page/folder-details?nodeRef=workspace://SpacesStore/aedbbf8b-1b92-460e-a299-837a1c950f88","0234_2025008201_8943")</f>
      </c>
      <c r="C73" s="12" t="s">
        <v>84</v>
      </c>
      <c r="D73" s="13" t="s">
        <v>151</v>
      </c>
      <c r="E73" s="12" t="s">
        <v>152</v>
      </c>
      <c r="F73" s="12" t="s">
        <v>157</v>
      </c>
      <c r="G73" s="12" t="s">
        <v>212</v>
      </c>
      <c r="H73" s="12" t="s">
        <v>212</v>
      </c>
      <c r="I73" s="12" t="s">
        <v>348</v>
      </c>
      <c r="J73" s="12" t="s">
        <v>376</v>
      </c>
    </row>
    <row customHeight="1" ht="33" r="74">
      <c r="B74" s="12">
        <f>HYPERLINK("https://gesdoc.uis.edu.co/share/page/folder-details?nodeRef=workspace://SpacesStore/0fac6737-faaa-4719-8475-2902daa78670","0234_2025008203_8943")</f>
      </c>
      <c r="C74" s="12" t="s">
        <v>85</v>
      </c>
      <c r="D74" s="13" t="s">
        <v>151</v>
      </c>
      <c r="E74" s="12" t="s">
        <v>152</v>
      </c>
      <c r="F74" s="12" t="s">
        <v>157</v>
      </c>
      <c r="G74" s="12" t="s">
        <v>211</v>
      </c>
      <c r="H74" s="12" t="s">
        <v>211</v>
      </c>
      <c r="I74" s="12" t="s">
        <v>348</v>
      </c>
      <c r="J74" s="12" t="s">
        <v>376</v>
      </c>
    </row>
    <row customHeight="1" ht="33" r="75">
      <c r="B75" s="12">
        <f>HYPERLINK("https://gesdoc.uis.edu.co/share/page/folder-details?nodeRef=workspace://SpacesStore/aeb4258d-dcd8-4f4d-9b0f-af1715a92d56","0234_2025008571_8943")</f>
      </c>
      <c r="C75" s="12" t="s">
        <v>86</v>
      </c>
      <c r="D75" s="13" t="s">
        <v>151</v>
      </c>
      <c r="E75" s="12" t="s">
        <v>152</v>
      </c>
      <c r="F75" s="12" t="s">
        <v>157</v>
      </c>
      <c r="G75" s="12" t="s">
        <v>213</v>
      </c>
      <c r="H75" s="12" t="s">
        <v>213</v>
      </c>
      <c r="I75" s="12" t="s">
        <v>348</v>
      </c>
      <c r="J75" s="12" t="s">
        <v>376</v>
      </c>
    </row>
    <row customHeight="1" ht="33" r="76">
      <c r="B76" s="12">
        <f>HYPERLINK("https://gesdoc.uis.edu.co/share/page/folder-details?nodeRef=workspace://SpacesStore/8b1eca76-268e-4fde-88e9-e29db63e9bba","0234_2025017176_8943")</f>
      </c>
      <c r="C76" s="12" t="s">
        <v>87</v>
      </c>
      <c r="D76" s="13" t="s">
        <v>151</v>
      </c>
      <c r="E76" s="12" t="s">
        <v>152</v>
      </c>
      <c r="F76" s="12" t="s">
        <v>157</v>
      </c>
      <c r="G76" s="12" t="s">
        <v>213</v>
      </c>
      <c r="H76" s="12" t="s">
        <v>208</v>
      </c>
      <c r="I76" s="12" t="s">
        <v>348</v>
      </c>
      <c r="J76" s="12" t="s">
        <v>376</v>
      </c>
    </row>
    <row customHeight="1" ht="33" r="77">
      <c r="B77" s="12">
        <f>HYPERLINK("https://gesdoc.uis.edu.co/share/page/folder-details?nodeRef=workspace://SpacesStore/b284cc40-24a1-4b19-b4bc-6dfbc79a534a","0020_2026000340_4675")</f>
      </c>
      <c r="C77" s="12" t="s">
        <v>88</v>
      </c>
      <c r="D77" s="13" t="s">
        <v>144</v>
      </c>
      <c r="E77" s="12" t="s">
        <v>152</v>
      </c>
      <c r="F77" s="12" t="s">
        <v>153</v>
      </c>
      <c r="G77" s="12" t="s">
        <v>214</v>
      </c>
      <c r="H77" s="12" t="s">
        <v>307</v>
      </c>
      <c r="I77" s="12">
        <v>4675</v>
      </c>
      <c r="J77" s="12" t="s">
        <v>378</v>
      </c>
    </row>
    <row customHeight="1" ht="33" r="78">
      <c r="B78" s="12">
        <f>HYPERLINK("https://gesdoc.uis.edu.co/share/page/folder-details?nodeRef=workspace://SpacesStore/7b3f1a48-acc6-4d3a-9efc-98c74e6a7998","0020_2026000339_4669")</f>
      </c>
      <c r="C78" s="12" t="s">
        <v>89</v>
      </c>
      <c r="D78" s="13" t="s">
        <v>144</v>
      </c>
      <c r="E78" s="12" t="s">
        <v>152</v>
      </c>
      <c r="F78" s="12" t="s">
        <v>153</v>
      </c>
      <c r="G78" s="12" t="s">
        <v>215</v>
      </c>
      <c r="H78" s="12" t="s">
        <v>214</v>
      </c>
      <c r="I78" s="12">
        <v>4669</v>
      </c>
      <c r="J78" s="12" t="s">
        <v>379</v>
      </c>
    </row>
    <row customHeight="1" ht="33" r="79">
      <c r="B79" s="12">
        <f>HYPERLINK("https://gesdoc.uis.edu.co/share/page/folder-details?nodeRef=workspace://SpacesStore/d783b484-7dc7-402d-a2a1-622a281dfcf1","270_2026000743_4619")</f>
      </c>
      <c r="C79" s="12" t="s">
        <v>90</v>
      </c>
      <c r="D79" s="13" t="s">
        <v>146</v>
      </c>
      <c r="E79" s="12" t="s">
        <v>152</v>
      </c>
      <c r="F79" s="12" t="s">
        <v>156</v>
      </c>
      <c r="G79" s="12" t="s">
        <v>216</v>
      </c>
      <c r="H79" s="12" t="s">
        <v>308</v>
      </c>
      <c r="I79" s="12">
        <v>4619</v>
      </c>
      <c r="J79" s="12" t="s">
        <v>380</v>
      </c>
    </row>
    <row customHeight="1" ht="33" r="80">
      <c r="B80" s="12">
        <f>HYPERLINK("https://gesdoc.uis.edu.co/share/page/folder-details?nodeRef=workspace://SpacesStore/20381c0c-f17b-4adf-b121-a3cb32314fcb","0020_2026000345_8097")</f>
      </c>
      <c r="C80" s="12" t="s">
        <v>91</v>
      </c>
      <c r="D80" s="13" t="s">
        <v>145</v>
      </c>
      <c r="E80" s="12" t="s">
        <v>152</v>
      </c>
      <c r="F80" s="12" t="s">
        <v>155</v>
      </c>
      <c r="G80" s="12" t="s">
        <v>217</v>
      </c>
      <c r="H80" s="12" t="s">
        <v>309</v>
      </c>
      <c r="I80" s="12" t="s">
        <v>350</v>
      </c>
      <c r="J80" s="12" t="s">
        <v>381</v>
      </c>
    </row>
    <row customHeight="1" ht="33" r="81">
      <c r="B81" s="12">
        <f>HYPERLINK("https://gesdoc.uis.edu.co/share/page/folder-details?nodeRef=workspace://SpacesStore/26bacbe7-8db8-4458-91e1-6300adb22032","0020_2026000309_8097")</f>
      </c>
      <c r="C81" s="12" t="s">
        <v>92</v>
      </c>
      <c r="D81" s="13" t="s">
        <v>145</v>
      </c>
      <c r="E81" s="12" t="s">
        <v>152</v>
      </c>
      <c r="F81" s="12" t="s">
        <v>155</v>
      </c>
      <c r="G81" s="12" t="s">
        <v>218</v>
      </c>
      <c r="H81" s="12" t="s">
        <v>310</v>
      </c>
      <c r="I81" s="12" t="s">
        <v>350</v>
      </c>
      <c r="J81" s="12" t="s">
        <v>381</v>
      </c>
    </row>
    <row customHeight="1" ht="33" r="82">
      <c r="B82" s="12">
        <f>HYPERLINK("https://gesdoc.uis.edu.co/share/page/folder-details?nodeRef=workspace://SpacesStore/8eb94ad1-b081-4516-8580-c61b82efd625","0018_2026002453_4609")</f>
      </c>
      <c r="C82" s="12" t="s">
        <v>93</v>
      </c>
      <c r="D82" s="13" t="s">
        <v>146</v>
      </c>
      <c r="E82" s="12" t="s">
        <v>152</v>
      </c>
      <c r="F82" s="12" t="s">
        <v>156</v>
      </c>
      <c r="G82" s="12" t="s">
        <v>219</v>
      </c>
      <c r="H82" s="12" t="s">
        <v>219</v>
      </c>
      <c r="I82" s="12">
        <v>4609</v>
      </c>
      <c r="J82" s="12" t="s">
        <v>365</v>
      </c>
    </row>
    <row customHeight="1" ht="33" r="83">
      <c r="B83" s="12">
        <f>HYPERLINK("https://gesdoc.uis.edu.co/share/page/folder-details?nodeRef=workspace://SpacesStore/8e64ca78-fb4f-44ff-a45e-a1d047168c45","0018_2026002472_4619")</f>
      </c>
      <c r="C83" s="12" t="s">
        <v>94</v>
      </c>
      <c r="D83" s="13" t="s">
        <v>146</v>
      </c>
      <c r="E83" s="12" t="s">
        <v>152</v>
      </c>
      <c r="F83" s="12" t="s">
        <v>156</v>
      </c>
      <c r="G83" s="12" t="s">
        <v>220</v>
      </c>
      <c r="H83" s="12" t="s">
        <v>220</v>
      </c>
      <c r="I83" s="12">
        <v>4619</v>
      </c>
      <c r="J83" s="12" t="s">
        <v>365</v>
      </c>
    </row>
    <row customHeight="1" ht="33" r="84">
      <c r="B84" s="12">
        <f>HYPERLINK("https://gesdoc.uis.edu.co/share/page/folder-details?nodeRef=workspace://SpacesStore/cf848ebc-2a87-4c54-ad4d-0c24d87406ab","0020_2026000234_4691")</f>
      </c>
      <c r="C84" s="12" t="s">
        <v>95</v>
      </c>
      <c r="D84" s="13" t="s">
        <v>146</v>
      </c>
      <c r="E84" s="12" t="s">
        <v>152</v>
      </c>
      <c r="F84" s="12" t="s">
        <v>153</v>
      </c>
      <c r="G84" s="12" t="s">
        <v>221</v>
      </c>
      <c r="H84" s="12" t="s">
        <v>311</v>
      </c>
      <c r="I84" s="12">
        <v>4691</v>
      </c>
      <c r="J84" s="12" t="s">
        <v>359</v>
      </c>
    </row>
    <row customHeight="1" ht="33" r="85">
      <c r="B85" s="12">
        <f>HYPERLINK("https://gesdoc.uis.edu.co/share/page/folder-details?nodeRef=workspace://SpacesStore/3ba4bd76-91a1-492b-8db4-a56b7af709cc","0020_2026000323_8096")</f>
      </c>
      <c r="C85" s="12" t="s">
        <v>96</v>
      </c>
      <c r="D85" s="13" t="s">
        <v>145</v>
      </c>
      <c r="E85" s="12" t="s">
        <v>152</v>
      </c>
      <c r="F85" s="12" t="s">
        <v>155</v>
      </c>
      <c r="G85" s="12" t="s">
        <v>222</v>
      </c>
      <c r="H85" s="12" t="s">
        <v>312</v>
      </c>
      <c r="I85" s="12" t="s">
        <v>337</v>
      </c>
      <c r="J85" s="12" t="s">
        <v>356</v>
      </c>
    </row>
    <row customHeight="1" ht="33" r="86">
      <c r="B86" s="12">
        <f>HYPERLINK("https://gesdoc.uis.edu.co/share/page/folder-details?nodeRef=workspace://SpacesStore/e000b8e8-07e7-4474-93c6-ab95ea2f4f6d","0018_2026002324_4624")</f>
      </c>
      <c r="C86" s="12" t="s">
        <v>97</v>
      </c>
      <c r="D86" s="13" t="s">
        <v>150</v>
      </c>
      <c r="E86" s="12" t="s">
        <v>152</v>
      </c>
      <c r="F86" s="12" t="s">
        <v>156</v>
      </c>
      <c r="G86" s="12" t="s">
        <v>223</v>
      </c>
      <c r="H86" s="12" t="s">
        <v>313</v>
      </c>
      <c r="I86" s="12">
        <v>4624</v>
      </c>
      <c r="J86" s="12" t="s">
        <v>374</v>
      </c>
    </row>
    <row customHeight="1" ht="33" r="87">
      <c r="B87" s="12">
        <f>HYPERLINK("https://gesdoc.uis.edu.co/share/page/folder-details?nodeRef=workspace://SpacesStore/e234f606-f7ee-4caf-b336-0ce0ddec489c","0020_2026000346_8096")</f>
      </c>
      <c r="C87" s="12" t="s">
        <v>98</v>
      </c>
      <c r="D87" s="13" t="s">
        <v>145</v>
      </c>
      <c r="E87" s="12" t="s">
        <v>152</v>
      </c>
      <c r="F87" s="12" t="s">
        <v>155</v>
      </c>
      <c r="G87" s="12" t="s">
        <v>224</v>
      </c>
      <c r="H87" s="12" t="s">
        <v>225</v>
      </c>
      <c r="I87" s="12" t="s">
        <v>337</v>
      </c>
      <c r="J87" s="12" t="s">
        <v>356</v>
      </c>
    </row>
    <row customHeight="1" ht="33" r="88">
      <c r="B88" s="12">
        <f>HYPERLINK("https://gesdoc.uis.edu.co/share/page/folder-details?nodeRef=workspace://SpacesStore/8c758de7-0ac0-4dfb-a0d0-4df0e31490c0","0234_2026002514_8212")</f>
      </c>
      <c r="C88" s="12" t="s">
        <v>99</v>
      </c>
      <c r="D88" s="13" t="s">
        <v>145</v>
      </c>
      <c r="E88" s="12" t="s">
        <v>152</v>
      </c>
      <c r="F88" s="12" t="s">
        <v>155</v>
      </c>
      <c r="G88" s="12" t="s">
        <v>225</v>
      </c>
      <c r="H88" s="12" t="s">
        <v>225</v>
      </c>
      <c r="I88" s="12" t="s">
        <v>351</v>
      </c>
      <c r="J88" s="12" t="s">
        <v>382</v>
      </c>
    </row>
    <row customHeight="1" ht="33" r="89">
      <c r="B89" s="12">
        <f>HYPERLINK("https://gesdoc.uis.edu.co/share/page/folder-details?nodeRef=workspace://SpacesStore/967a8440-9cfb-46c8-beb3-8e81f485b004","0234_2026004581_8212")</f>
      </c>
      <c r="C89" s="12" t="s">
        <v>100</v>
      </c>
      <c r="D89" s="13" t="s">
        <v>145</v>
      </c>
      <c r="E89" s="12" t="s">
        <v>152</v>
      </c>
      <c r="F89" s="12" t="s">
        <v>155</v>
      </c>
      <c r="G89" s="12" t="s">
        <v>226</v>
      </c>
      <c r="H89" s="12" t="s">
        <v>314</v>
      </c>
      <c r="I89" s="12" t="s">
        <v>351</v>
      </c>
      <c r="J89" s="12" t="s">
        <v>382</v>
      </c>
    </row>
    <row customHeight="1" ht="33" r="90">
      <c r="B90" s="12">
        <f>HYPERLINK("https://gesdoc.uis.edu.co/share/page/folder-details?nodeRef=workspace://SpacesStore/45b0d4c7-b0a3-4ec8-bb92-517cc5a60697","0020_2026000347_8288")</f>
      </c>
      <c r="C90" s="12" t="s">
        <v>101</v>
      </c>
      <c r="D90" s="13" t="s">
        <v>145</v>
      </c>
      <c r="E90" s="12" t="s">
        <v>152</v>
      </c>
      <c r="F90" s="12" t="s">
        <v>155</v>
      </c>
      <c r="G90" s="12" t="s">
        <v>227</v>
      </c>
      <c r="H90" s="12" t="s">
        <v>315</v>
      </c>
      <c r="I90" s="12" t="s">
        <v>346</v>
      </c>
      <c r="J90" s="12" t="s">
        <v>383</v>
      </c>
    </row>
    <row customHeight="1" ht="33" r="91">
      <c r="B91" s="12">
        <f>HYPERLINK("https://gesdoc.uis.edu.co/share/page/folder-details?nodeRef=workspace://SpacesStore/4ffbdd24-b33c-4f06-8ba1-3b941852f7e6","0234_2026004585_8212")</f>
      </c>
      <c r="C91" s="12" t="s">
        <v>102</v>
      </c>
      <c r="D91" s="13" t="s">
        <v>145</v>
      </c>
      <c r="E91" s="12" t="s">
        <v>152</v>
      </c>
      <c r="F91" s="12" t="s">
        <v>155</v>
      </c>
      <c r="G91" s="12" t="s">
        <v>228</v>
      </c>
      <c r="H91" s="12" t="s">
        <v>316</v>
      </c>
      <c r="I91" s="12" t="s">
        <v>351</v>
      </c>
      <c r="J91" s="12" t="s">
        <v>382</v>
      </c>
    </row>
    <row customHeight="1" ht="33" r="92">
      <c r="B92" s="12">
        <f>HYPERLINK("https://gesdoc.uis.edu.co/share/page/folder-details?nodeRef=workspace://SpacesStore/247e5394-acf7-4679-bfc7-603bfa6c10bf","0018_2026002434_4259")</f>
      </c>
      <c r="C92" s="12" t="s">
        <v>103</v>
      </c>
      <c r="D92" s="13" t="s">
        <v>147</v>
      </c>
      <c r="E92" s="12" t="s">
        <v>152</v>
      </c>
      <c r="F92" s="12" t="s">
        <v>156</v>
      </c>
      <c r="G92" s="12" t="s">
        <v>229</v>
      </c>
      <c r="H92" s="12" t="s">
        <v>317</v>
      </c>
      <c r="I92" s="12">
        <v>4259</v>
      </c>
      <c r="J92" s="12" t="s">
        <v>362</v>
      </c>
    </row>
    <row customHeight="1" ht="33" r="93">
      <c r="B93" s="12">
        <f>HYPERLINK("https://gesdoc.uis.edu.co/share/page/folder-details?nodeRef=workspace://SpacesStore/3285a3ed-3053-4e39-8c62-d53946647817","0234_2026002516_8212")</f>
      </c>
      <c r="C93" s="12" t="s">
        <v>104</v>
      </c>
      <c r="D93" s="13" t="s">
        <v>145</v>
      </c>
      <c r="E93" s="12" t="s">
        <v>152</v>
      </c>
      <c r="F93" s="12" t="s">
        <v>155</v>
      </c>
      <c r="G93" s="12" t="s">
        <v>230</v>
      </c>
      <c r="H93" s="12" t="s">
        <v>231</v>
      </c>
      <c r="I93" s="12" t="s">
        <v>351</v>
      </c>
      <c r="J93" s="12" t="s">
        <v>382</v>
      </c>
    </row>
    <row customHeight="1" ht="33" r="94">
      <c r="B94" s="12">
        <f>HYPERLINK("https://gesdoc.uis.edu.co/share/page/folder-details?nodeRef=workspace://SpacesStore/957e371a-51c6-4d8c-af8d-79a14e62cdc5","0234_2026002521_8212")</f>
      </c>
      <c r="C94" s="12" t="s">
        <v>105</v>
      </c>
      <c r="D94" s="13" t="s">
        <v>145</v>
      </c>
      <c r="E94" s="12" t="s">
        <v>152</v>
      </c>
      <c r="F94" s="12" t="s">
        <v>155</v>
      </c>
      <c r="G94" s="12" t="s">
        <v>231</v>
      </c>
      <c r="H94" s="12" t="s">
        <v>318</v>
      </c>
      <c r="I94" s="12" t="s">
        <v>351</v>
      </c>
      <c r="J94" s="12" t="s">
        <v>382</v>
      </c>
    </row>
    <row customHeight="1" ht="33" r="95">
      <c r="B95" s="12">
        <f>HYPERLINK("https://gesdoc.uis.edu.co/share/page/folder-details?nodeRef=workspace://SpacesStore/7a2fc04f-9cab-40f1-b5a2-c3bf43a5a2f0","0234_2026003487_8212")</f>
      </c>
      <c r="C95" s="12" t="s">
        <v>106</v>
      </c>
      <c r="D95" s="13" t="s">
        <v>145</v>
      </c>
      <c r="E95" s="12" t="s">
        <v>152</v>
      </c>
      <c r="F95" s="12" t="s">
        <v>155</v>
      </c>
      <c r="G95" s="12" t="s">
        <v>232</v>
      </c>
      <c r="H95" s="12" t="s">
        <v>232</v>
      </c>
      <c r="I95" s="12" t="s">
        <v>351</v>
      </c>
      <c r="J95" s="12" t="s">
        <v>382</v>
      </c>
    </row>
    <row customHeight="1" ht="33" r="96">
      <c r="B96" s="12">
        <f>HYPERLINK("https://gesdoc.uis.edu.co/share/page/folder-details?nodeRef=workspace://SpacesStore/3b083619-e239-490e-a421-388c4c93b087","0234_2026002502_8212")</f>
      </c>
      <c r="C96" s="12" t="s">
        <v>107</v>
      </c>
      <c r="D96" s="13" t="s">
        <v>145</v>
      </c>
      <c r="E96" s="12" t="s">
        <v>152</v>
      </c>
      <c r="F96" s="12" t="s">
        <v>155</v>
      </c>
      <c r="G96" s="12" t="s">
        <v>233</v>
      </c>
      <c r="H96" s="12" t="s">
        <v>233</v>
      </c>
      <c r="I96" s="12" t="s">
        <v>351</v>
      </c>
      <c r="J96" s="12" t="s">
        <v>382</v>
      </c>
    </row>
    <row customHeight="1" ht="33" r="97">
      <c r="B97" s="12">
        <f>HYPERLINK("https://gesdoc.uis.edu.co/share/page/folder-details?nodeRef=workspace://SpacesStore/99a244e8-36ec-44c1-8daa-6f5d14d3e313","0234_2026002501_8212")</f>
      </c>
      <c r="C97" s="12" t="s">
        <v>108</v>
      </c>
      <c r="D97" s="13" t="s">
        <v>145</v>
      </c>
      <c r="E97" s="12" t="s">
        <v>152</v>
      </c>
      <c r="F97" s="12" t="s">
        <v>155</v>
      </c>
      <c r="G97" s="12" t="s">
        <v>234</v>
      </c>
      <c r="H97" s="12" t="s">
        <v>234</v>
      </c>
      <c r="I97" s="12" t="s">
        <v>351</v>
      </c>
      <c r="J97" s="12" t="s">
        <v>382</v>
      </c>
    </row>
    <row customHeight="1" ht="33" r="98">
      <c r="B98" s="12">
        <f>HYPERLINK("https://gesdoc.uis.edu.co/share/page/folder-details?nodeRef=workspace://SpacesStore/b3785d9c-4493-4aac-b39b-243fda0d8c4b","0020_2026000361_8096")</f>
      </c>
      <c r="C98" s="12" t="s">
        <v>109</v>
      </c>
      <c r="D98" s="13" t="s">
        <v>145</v>
      </c>
      <c r="E98" s="12" t="s">
        <v>152</v>
      </c>
      <c r="F98" s="12" t="s">
        <v>155</v>
      </c>
      <c r="G98" s="12" t="s">
        <v>235</v>
      </c>
      <c r="H98" s="12" t="s">
        <v>235</v>
      </c>
      <c r="I98" s="12" t="s">
        <v>337</v>
      </c>
      <c r="J98" s="12" t="s">
        <v>356</v>
      </c>
    </row>
    <row customHeight="1" ht="33" r="99">
      <c r="B99" s="12">
        <f>HYPERLINK("https://gesdoc.uis.edu.co/share/page/folder-details?nodeRef=workspace://SpacesStore/91da5753-337a-4891-b9f7-42de42ff39cf","0234_2026002531_8212")</f>
      </c>
      <c r="C99" s="12" t="s">
        <v>110</v>
      </c>
      <c r="D99" s="13" t="s">
        <v>145</v>
      </c>
      <c r="E99" s="12" t="s">
        <v>152</v>
      </c>
      <c r="F99" s="12" t="s">
        <v>155</v>
      </c>
      <c r="G99" s="12" t="s">
        <v>236</v>
      </c>
      <c r="H99" s="12" t="s">
        <v>319</v>
      </c>
      <c r="I99" s="12" t="s">
        <v>351</v>
      </c>
      <c r="J99" s="12" t="s">
        <v>382</v>
      </c>
    </row>
    <row customHeight="1" ht="33" r="100">
      <c r="B100" s="12">
        <f>HYPERLINK("https://gesdoc.uis.edu.co/share/page/folder-details?nodeRef=workspace://SpacesStore/3f16ac4a-92a8-4669-b8d6-caf4063ff0ea","0234_2026002506_8212")</f>
      </c>
      <c r="C100" s="12" t="s">
        <v>111</v>
      </c>
      <c r="D100" s="13" t="s">
        <v>145</v>
      </c>
      <c r="E100" s="12" t="s">
        <v>152</v>
      </c>
      <c r="F100" s="12" t="s">
        <v>155</v>
      </c>
      <c r="G100" s="12" t="s">
        <v>237</v>
      </c>
      <c r="H100" s="12" t="s">
        <v>320</v>
      </c>
      <c r="I100" s="12" t="s">
        <v>351</v>
      </c>
      <c r="J100" s="12" t="s">
        <v>382</v>
      </c>
    </row>
    <row customHeight="1" ht="33" r="101">
      <c r="B101" s="12">
        <f>HYPERLINK("https://gesdoc.uis.edu.co/share/page/folder-details?nodeRef=workspace://SpacesStore/e5ab48c7-b8cd-4d4c-8869-36f59cd4e72c","0234_2026002512_8212")</f>
      </c>
      <c r="C101" s="12" t="s">
        <v>112</v>
      </c>
      <c r="D101" s="13" t="s">
        <v>145</v>
      </c>
      <c r="E101" s="12" t="s">
        <v>152</v>
      </c>
      <c r="F101" s="12" t="s">
        <v>155</v>
      </c>
      <c r="G101" s="12" t="s">
        <v>238</v>
      </c>
      <c r="H101" s="12" t="s">
        <v>238</v>
      </c>
      <c r="I101" s="12" t="s">
        <v>351</v>
      </c>
      <c r="J101" s="12" t="s">
        <v>382</v>
      </c>
    </row>
    <row customHeight="1" ht="33" r="102">
      <c r="B102" s="12">
        <f>HYPERLINK("https://gesdoc.uis.edu.co/share/page/folder-details?nodeRef=workspace://SpacesStore/bb33b8ef-36f2-4fbb-823d-075cd175600f","0049_2025000023_8943")</f>
      </c>
      <c r="C102" s="12" t="s">
        <v>113</v>
      </c>
      <c r="D102" s="13" t="s">
        <v>151</v>
      </c>
      <c r="E102" s="12" t="s">
        <v>152</v>
      </c>
      <c r="F102" s="12" t="s">
        <v>157</v>
      </c>
      <c r="G102" s="12" t="s">
        <v>239</v>
      </c>
      <c r="H102" s="12" t="s">
        <v>239</v>
      </c>
      <c r="I102" s="12" t="s">
        <v>348</v>
      </c>
      <c r="J102" s="12" t="s">
        <v>384</v>
      </c>
    </row>
    <row customHeight="1" ht="33" r="103">
      <c r="B103" s="12">
        <f>HYPERLINK("https://gesdoc.uis.edu.co/share/page/folder-details?nodeRef=workspace://SpacesStore/91547dc1-e957-4192-aea5-8a61f6a72651","0234_2026002503_8212")</f>
      </c>
      <c r="C103" s="12" t="s">
        <v>114</v>
      </c>
      <c r="D103" s="13" t="s">
        <v>145</v>
      </c>
      <c r="E103" s="12" t="s">
        <v>152</v>
      </c>
      <c r="F103" s="12" t="s">
        <v>155</v>
      </c>
      <c r="G103" s="12" t="s">
        <v>240</v>
      </c>
      <c r="H103" s="12" t="s">
        <v>240</v>
      </c>
      <c r="I103" s="12" t="s">
        <v>351</v>
      </c>
      <c r="J103" s="12" t="s">
        <v>382</v>
      </c>
    </row>
    <row customHeight="1" ht="33" r="104">
      <c r="B104" s="12">
        <f>HYPERLINK("https://gesdoc.uis.edu.co/share/page/folder-details?nodeRef=workspace://SpacesStore/bae8716f-8d03-46c9-868a-080a8b0aa46b","0234_2026002504_8212")</f>
      </c>
      <c r="C104" s="12" t="s">
        <v>115</v>
      </c>
      <c r="D104" s="13" t="s">
        <v>145</v>
      </c>
      <c r="E104" s="12" t="s">
        <v>152</v>
      </c>
      <c r="F104" s="12" t="s">
        <v>155</v>
      </c>
      <c r="G104" s="12" t="s">
        <v>241</v>
      </c>
      <c r="H104" s="12" t="s">
        <v>321</v>
      </c>
      <c r="I104" s="12" t="s">
        <v>351</v>
      </c>
      <c r="J104" s="12" t="s">
        <v>382</v>
      </c>
    </row>
    <row customHeight="1" ht="33" r="105">
      <c r="B105" s="12">
        <f>HYPERLINK("https://gesdoc.uis.edu.co/share/page/folder-details?nodeRef=workspace://SpacesStore/4b3d6246-a4a9-48ba-b276-a175b8c187e7","0018_2026002481_4624")</f>
      </c>
      <c r="C105" s="12" t="s">
        <v>116</v>
      </c>
      <c r="D105" s="13" t="s">
        <v>150</v>
      </c>
      <c r="E105" s="12" t="s">
        <v>152</v>
      </c>
      <c r="F105" s="12" t="s">
        <v>156</v>
      </c>
      <c r="G105" s="12" t="s">
        <v>242</v>
      </c>
      <c r="H105" s="12" t="s">
        <v>242</v>
      </c>
      <c r="I105" s="12">
        <v>4624</v>
      </c>
      <c r="J105" s="12" t="s">
        <v>374</v>
      </c>
    </row>
    <row customHeight="1" ht="33" r="106">
      <c r="B106" s="12">
        <f>HYPERLINK("https://gesdoc.uis.edu.co/share/page/folder-details?nodeRef=workspace://SpacesStore/924b2bb7-1dde-4c0e-a578-0013c6907230","0234_2026004587_8212")</f>
      </c>
      <c r="C106" s="12" t="s">
        <v>117</v>
      </c>
      <c r="D106" s="13" t="s">
        <v>145</v>
      </c>
      <c r="E106" s="12" t="s">
        <v>152</v>
      </c>
      <c r="F106" s="12" t="s">
        <v>155</v>
      </c>
      <c r="G106" s="12" t="s">
        <v>243</v>
      </c>
      <c r="H106" s="12" t="s">
        <v>322</v>
      </c>
      <c r="I106" s="12" t="s">
        <v>351</v>
      </c>
      <c r="J106" s="12" t="s">
        <v>382</v>
      </c>
    </row>
    <row customHeight="1" ht="33" r="107">
      <c r="B107" s="12">
        <f>HYPERLINK("https://gesdoc.uis.edu.co/share/page/folder-details?nodeRef=workspace://SpacesStore/ba262369-b89b-4706-ab83-3cd820775d15","0234_2026002500_8212")</f>
      </c>
      <c r="C107" s="12" t="s">
        <v>118</v>
      </c>
      <c r="D107" s="13" t="s">
        <v>145</v>
      </c>
      <c r="E107" s="12" t="s">
        <v>152</v>
      </c>
      <c r="F107" s="12" t="s">
        <v>155</v>
      </c>
      <c r="G107" s="12" t="s">
        <v>244</v>
      </c>
      <c r="H107" s="12" t="s">
        <v>323</v>
      </c>
      <c r="I107" s="12" t="s">
        <v>351</v>
      </c>
      <c r="J107" s="12" t="s">
        <v>382</v>
      </c>
    </row>
    <row customHeight="1" ht="33" r="108">
      <c r="B108" s="12">
        <f>HYPERLINK("https://gesdoc.uis.edu.co/share/page/folder-details?nodeRef=workspace://SpacesStore/d8e46a3e-4f3a-4575-a9b1-914c73d7509a","0234_2025014354_8054")</f>
      </c>
      <c r="C108" s="12" t="s">
        <v>119</v>
      </c>
      <c r="D108" s="13" t="s">
        <v>145</v>
      </c>
      <c r="E108" s="12" t="s">
        <v>152</v>
      </c>
      <c r="F108" s="12" t="s">
        <v>155</v>
      </c>
      <c r="G108" s="12" t="s">
        <v>245</v>
      </c>
      <c r="H108" s="12" t="s">
        <v>246</v>
      </c>
      <c r="I108" s="12" t="s">
        <v>341</v>
      </c>
      <c r="J108" s="12" t="s">
        <v>385</v>
      </c>
    </row>
    <row customHeight="1" ht="33" r="109">
      <c r="B109" s="12">
        <f>HYPERLINK("https://gesdoc.uis.edu.co/share/page/folder-details?nodeRef=workspace://SpacesStore/c2babb6a-261c-4a64-9496-653750d8544d","0234_2025016378_8054")</f>
      </c>
      <c r="C109" s="12" t="s">
        <v>120</v>
      </c>
      <c r="D109" s="13" t="s">
        <v>145</v>
      </c>
      <c r="E109" s="12" t="s">
        <v>152</v>
      </c>
      <c r="F109" s="12" t="s">
        <v>155</v>
      </c>
      <c r="G109" s="12" t="s">
        <v>246</v>
      </c>
      <c r="H109" s="12" t="s">
        <v>324</v>
      </c>
      <c r="I109" s="12" t="s">
        <v>341</v>
      </c>
      <c r="J109" s="12" t="s">
        <v>385</v>
      </c>
    </row>
    <row customHeight="1" ht="33" r="110">
      <c r="B110" s="12">
        <f>HYPERLINK("https://gesdoc.uis.edu.co/share/page/folder-details?nodeRef=workspace://SpacesStore/4573a432-aace-4138-a5eb-d784d0bd9e2d","0234_2026000666_8212")</f>
      </c>
      <c r="C110" s="12" t="s">
        <v>121</v>
      </c>
      <c r="D110" s="13" t="s">
        <v>145</v>
      </c>
      <c r="E110" s="12" t="s">
        <v>152</v>
      </c>
      <c r="F110" s="12" t="s">
        <v>155</v>
      </c>
      <c r="G110" s="12" t="s">
        <v>247</v>
      </c>
      <c r="H110" s="12" t="s">
        <v>247</v>
      </c>
      <c r="I110" s="12" t="s">
        <v>351</v>
      </c>
      <c r="J110" s="12" t="s">
        <v>382</v>
      </c>
    </row>
    <row customHeight="1" ht="33" r="111">
      <c r="B111" s="12">
        <f>HYPERLINK("https://gesdoc.uis.edu.co/share/page/folder-details?nodeRef=workspace://SpacesStore/307ebd72-2944-4c02-9544-1e7cc705e120","0234_2026000620_8212")</f>
      </c>
      <c r="C111" s="12" t="s">
        <v>122</v>
      </c>
      <c r="D111" s="13" t="s">
        <v>145</v>
      </c>
      <c r="E111" s="12" t="s">
        <v>152</v>
      </c>
      <c r="F111" s="12" t="s">
        <v>155</v>
      </c>
      <c r="G111" s="12" t="s">
        <v>248</v>
      </c>
      <c r="H111" s="12" t="s">
        <v>248</v>
      </c>
      <c r="I111" s="12" t="s">
        <v>351</v>
      </c>
      <c r="J111" s="12" t="s">
        <v>382</v>
      </c>
    </row>
    <row customHeight="1" ht="33" r="112">
      <c r="B112" s="12">
        <f>HYPERLINK("https://gesdoc.uis.edu.co/share/page/folder-details?nodeRef=workspace://SpacesStore/fa02e657-31db-4875-8ecf-3c4518dd0fe3","0234_2026000622_8212")</f>
      </c>
      <c r="C112" s="12" t="s">
        <v>123</v>
      </c>
      <c r="D112" s="13" t="s">
        <v>145</v>
      </c>
      <c r="E112" s="12" t="s">
        <v>152</v>
      </c>
      <c r="F112" s="12" t="s">
        <v>155</v>
      </c>
      <c r="G112" s="12" t="s">
        <v>249</v>
      </c>
      <c r="H112" s="12" t="s">
        <v>249</v>
      </c>
      <c r="I112" s="12" t="s">
        <v>351</v>
      </c>
      <c r="J112" s="12" t="s">
        <v>382</v>
      </c>
    </row>
    <row customHeight="1" ht="33" r="113">
      <c r="B113" s="12">
        <f>HYPERLINK("https://gesdoc.uis.edu.co/share/page/folder-details?nodeRef=workspace://SpacesStore/8ed3aada-3aac-4482-b416-87dd3cba18c3","0234_2026000636_8212")</f>
      </c>
      <c r="C113" s="12" t="s">
        <v>124</v>
      </c>
      <c r="D113" s="13" t="s">
        <v>145</v>
      </c>
      <c r="E113" s="12" t="s">
        <v>152</v>
      </c>
      <c r="F113" s="12" t="s">
        <v>155</v>
      </c>
      <c r="G113" s="12" t="s">
        <v>250</v>
      </c>
      <c r="H113" s="12" t="s">
        <v>325</v>
      </c>
      <c r="I113" s="12" t="s">
        <v>351</v>
      </c>
      <c r="J113" s="12" t="s">
        <v>382</v>
      </c>
    </row>
    <row customHeight="1" ht="33" r="114">
      <c r="B114" s="12">
        <f>HYPERLINK("https://gesdoc.uis.edu.co/share/page/folder-details?nodeRef=workspace://SpacesStore/fcb6fa39-54ab-48bb-91bf-5498ae423b16","0234_2026000608_8212")</f>
      </c>
      <c r="C114" s="12" t="s">
        <v>125</v>
      </c>
      <c r="D114" s="13" t="s">
        <v>145</v>
      </c>
      <c r="E114" s="12" t="s">
        <v>152</v>
      </c>
      <c r="F114" s="12" t="s">
        <v>155</v>
      </c>
      <c r="G114" s="12" t="s">
        <v>251</v>
      </c>
      <c r="H114" s="12" t="s">
        <v>252</v>
      </c>
      <c r="I114" s="12" t="s">
        <v>351</v>
      </c>
      <c r="J114" s="12" t="s">
        <v>382</v>
      </c>
    </row>
    <row customHeight="1" ht="33" r="115">
      <c r="B115" s="12">
        <f>HYPERLINK("https://gesdoc.uis.edu.co/share/page/folder-details?nodeRef=workspace://SpacesStore/4d691ac9-bd50-4199-ba3c-15e9b8ce4e0c","0234_2026000039_8212")</f>
      </c>
      <c r="C115" s="12" t="s">
        <v>126</v>
      </c>
      <c r="D115" s="13" t="s">
        <v>145</v>
      </c>
      <c r="E115" s="12" t="s">
        <v>152</v>
      </c>
      <c r="F115" s="12" t="s">
        <v>155</v>
      </c>
      <c r="G115" s="12" t="s">
        <v>251</v>
      </c>
      <c r="H115" s="12" t="s">
        <v>251</v>
      </c>
      <c r="I115" s="12" t="s">
        <v>351</v>
      </c>
      <c r="J115" s="12" t="s">
        <v>382</v>
      </c>
    </row>
    <row customHeight="1" ht="33" r="116">
      <c r="B116" s="12">
        <f>HYPERLINK("https://gesdoc.uis.edu.co/share/page/folder-details?nodeRef=workspace://SpacesStore/72688340-b529-4ae4-b031-48cc7e66147a","0234_2026000613_8212")</f>
      </c>
      <c r="C116" s="12" t="s">
        <v>127</v>
      </c>
      <c r="D116" s="13" t="s">
        <v>145</v>
      </c>
      <c r="E116" s="12" t="s">
        <v>152</v>
      </c>
      <c r="F116" s="12" t="s">
        <v>155</v>
      </c>
      <c r="G116" s="12" t="s">
        <v>252</v>
      </c>
      <c r="H116" s="12" t="s">
        <v>252</v>
      </c>
      <c r="I116" s="12" t="s">
        <v>351</v>
      </c>
      <c r="J116" s="12" t="s">
        <v>382</v>
      </c>
    </row>
    <row customHeight="1" ht="33" r="117">
      <c r="B117" s="12">
        <f>HYPERLINK("https://gesdoc.uis.edu.co/share/page/folder-details?nodeRef=workspace://SpacesStore/530adcc1-49e7-4a5f-9cfb-967e011e51ab","0234_2026000614_8212")</f>
      </c>
      <c r="C117" s="12" t="s">
        <v>128</v>
      </c>
      <c r="D117" s="13" t="s">
        <v>145</v>
      </c>
      <c r="E117" s="12" t="s">
        <v>152</v>
      </c>
      <c r="F117" s="12" t="s">
        <v>155</v>
      </c>
      <c r="G117" s="12" t="s">
        <v>253</v>
      </c>
      <c r="H117" s="12" t="s">
        <v>253</v>
      </c>
      <c r="I117" s="12" t="s">
        <v>351</v>
      </c>
      <c r="J117" s="12" t="s">
        <v>382</v>
      </c>
    </row>
    <row customHeight="1" ht="33" r="118">
      <c r="B118" s="12">
        <f>HYPERLINK("https://gesdoc.uis.edu.co/share/page/folder-details?nodeRef=workspace://SpacesStore/6be23c4c-656c-4c12-87d8-ed8684cadba1","0234_2026000615_8212")</f>
      </c>
      <c r="C118" s="12" t="s">
        <v>129</v>
      </c>
      <c r="D118" s="13" t="s">
        <v>145</v>
      </c>
      <c r="E118" s="12" t="s">
        <v>152</v>
      </c>
      <c r="F118" s="12" t="s">
        <v>155</v>
      </c>
      <c r="G118" s="12" t="s">
        <v>254</v>
      </c>
      <c r="H118" s="12" t="s">
        <v>254</v>
      </c>
      <c r="I118" s="12" t="s">
        <v>351</v>
      </c>
      <c r="J118" s="12" t="s">
        <v>382</v>
      </c>
    </row>
    <row customHeight="1" ht="33" r="119">
      <c r="B119" s="12">
        <f>HYPERLINK("https://gesdoc.uis.edu.co/share/page/folder-details?nodeRef=workspace://SpacesStore/ad6f7322-d1e8-4f04-b550-70014d6a739c","0234_2026000617_8212")</f>
      </c>
      <c r="C119" s="12" t="s">
        <v>130</v>
      </c>
      <c r="D119" s="13" t="s">
        <v>145</v>
      </c>
      <c r="E119" s="12" t="s">
        <v>152</v>
      </c>
      <c r="F119" s="12" t="s">
        <v>155</v>
      </c>
      <c r="G119" s="12" t="s">
        <v>255</v>
      </c>
      <c r="H119" s="12" t="s">
        <v>255</v>
      </c>
      <c r="I119" s="12" t="s">
        <v>351</v>
      </c>
      <c r="J119" s="12" t="s">
        <v>382</v>
      </c>
    </row>
    <row customHeight="1" ht="33" r="120">
      <c r="B120" s="12">
        <f>HYPERLINK("https://gesdoc.uis.edu.co/share/page/folder-details?nodeRef=workspace://SpacesStore/e583e9be-628d-444f-914c-8e5891db1743","0234_2026002111_8212")</f>
      </c>
      <c r="C120" s="12" t="s">
        <v>131</v>
      </c>
      <c r="D120" s="13" t="s">
        <v>145</v>
      </c>
      <c r="E120" s="12" t="s">
        <v>152</v>
      </c>
      <c r="F120" s="12" t="s">
        <v>155</v>
      </c>
      <c r="G120" s="12" t="s">
        <v>256</v>
      </c>
      <c r="H120" s="12" t="s">
        <v>326</v>
      </c>
      <c r="I120" s="12" t="s">
        <v>351</v>
      </c>
      <c r="J120" s="12" t="s">
        <v>382</v>
      </c>
    </row>
    <row customHeight="1" ht="33" r="121">
      <c r="B121" s="12">
        <f>HYPERLINK("https://gesdoc.uis.edu.co/share/page/folder-details?nodeRef=workspace://SpacesStore/2dd22d65-67e4-4a46-9024-f4496d9c2bc0","0234_2026000671_8212")</f>
      </c>
      <c r="C121" s="12" t="s">
        <v>132</v>
      </c>
      <c r="D121" s="13" t="s">
        <v>145</v>
      </c>
      <c r="E121" s="12" t="s">
        <v>152</v>
      </c>
      <c r="F121" s="12" t="s">
        <v>155</v>
      </c>
      <c r="G121" s="12" t="s">
        <v>257</v>
      </c>
      <c r="H121" s="12" t="s">
        <v>257</v>
      </c>
      <c r="I121" s="12" t="s">
        <v>351</v>
      </c>
      <c r="J121" s="12" t="s">
        <v>382</v>
      </c>
    </row>
    <row customHeight="1" ht="33" r="122">
      <c r="B122" s="12">
        <f>HYPERLINK("https://gesdoc.uis.edu.co/share/page/folder-details?nodeRef=workspace://SpacesStore/1e500f10-f7bf-4fb2-99c6-ecfe44f0d3c3","0234_2026000791_8212")</f>
      </c>
      <c r="C122" s="12" t="s">
        <v>133</v>
      </c>
      <c r="D122" s="13" t="s">
        <v>145</v>
      </c>
      <c r="E122" s="12" t="s">
        <v>152</v>
      </c>
      <c r="F122" s="12" t="s">
        <v>155</v>
      </c>
      <c r="G122" s="12" t="s">
        <v>258</v>
      </c>
      <c r="H122" s="12" t="s">
        <v>327</v>
      </c>
      <c r="I122" s="12" t="s">
        <v>351</v>
      </c>
      <c r="J122" s="12" t="s">
        <v>382</v>
      </c>
    </row>
    <row customHeight="1" ht="33" r="123">
      <c r="B123" s="12">
        <f>HYPERLINK("https://gesdoc.uis.edu.co/share/page/folder-details?nodeRef=workspace://SpacesStore/817e0aab-0640-4c44-b2f6-a061a12d3df2","0234_2026002249_8212")</f>
      </c>
      <c r="C123" s="12" t="s">
        <v>134</v>
      </c>
      <c r="D123" s="13" t="s">
        <v>145</v>
      </c>
      <c r="E123" s="12" t="s">
        <v>152</v>
      </c>
      <c r="F123" s="12" t="s">
        <v>155</v>
      </c>
      <c r="G123" s="12" t="s">
        <v>259</v>
      </c>
      <c r="H123" s="12" t="s">
        <v>259</v>
      </c>
      <c r="I123" s="12" t="s">
        <v>351</v>
      </c>
      <c r="J123" s="12" t="s">
        <v>382</v>
      </c>
    </row>
    <row customHeight="1" ht="33" r="124">
      <c r="B124" s="12">
        <f>HYPERLINK("https://gesdoc.uis.edu.co/share/page/folder-details?nodeRef=workspace://SpacesStore/16677144-a5b3-457d-8378-074be45e4f24","0234_2026002499_8212")</f>
      </c>
      <c r="C124" s="12" t="s">
        <v>135</v>
      </c>
      <c r="D124" s="13" t="s">
        <v>145</v>
      </c>
      <c r="E124" s="12" t="s">
        <v>152</v>
      </c>
      <c r="F124" s="12" t="s">
        <v>155</v>
      </c>
      <c r="G124" s="12" t="s">
        <v>260</v>
      </c>
      <c r="H124" s="12" t="s">
        <v>328</v>
      </c>
      <c r="I124" s="12" t="s">
        <v>351</v>
      </c>
      <c r="J124" s="12" t="s">
        <v>382</v>
      </c>
    </row>
    <row customHeight="1" ht="33" r="125">
      <c r="B125" s="12">
        <f>HYPERLINK("https://gesdoc.uis.edu.co/share/page/folder-details?nodeRef=workspace://SpacesStore/437e4702-9444-445e-b8b8-505c46b717e2","0020_2026000360_8944")</f>
      </c>
      <c r="C125" s="12" t="s">
        <v>136</v>
      </c>
      <c r="D125" s="13" t="s">
        <v>149</v>
      </c>
      <c r="E125" s="12" t="s">
        <v>152</v>
      </c>
      <c r="F125" s="12" t="s">
        <v>157</v>
      </c>
      <c r="G125" s="12" t="s">
        <v>261</v>
      </c>
      <c r="H125" s="12" t="s">
        <v>329</v>
      </c>
      <c r="I125" s="12" t="s">
        <v>347</v>
      </c>
      <c r="J125" s="12" t="s">
        <v>375</v>
      </c>
    </row>
    <row customHeight="1" ht="33" r="126">
      <c r="B126" s="12">
        <f>HYPERLINK("https://gesdoc.uis.edu.co/share/page/folder-details?nodeRef=workspace://SpacesStore/04c22d31-aaf6-4f3e-979a-eaa434360f3e","0018_2026002501_4695")</f>
      </c>
      <c r="C126" s="12" t="s">
        <v>137</v>
      </c>
      <c r="D126" s="13" t="s">
        <v>147</v>
      </c>
      <c r="E126" s="12" t="s">
        <v>152</v>
      </c>
      <c r="F126" s="12" t="s">
        <v>153</v>
      </c>
      <c r="G126" s="12" t="s">
        <v>262</v>
      </c>
      <c r="H126" s="12" t="s">
        <v>330</v>
      </c>
      <c r="I126" s="12">
        <v>4695</v>
      </c>
      <c r="J126" s="12" t="s">
        <v>386</v>
      </c>
    </row>
    <row customHeight="1" ht="33" r="127">
      <c r="B127" s="12">
        <f>HYPERLINK("https://gesdoc.uis.edu.co/share/page/folder-details?nodeRef=workspace://SpacesStore/864170e3-32a4-4644-ae3c-35547ca2e2ba","0020_2026000349_8288")</f>
      </c>
      <c r="C127" s="12" t="s">
        <v>138</v>
      </c>
      <c r="D127" s="13" t="s">
        <v>145</v>
      </c>
      <c r="E127" s="12" t="s">
        <v>152</v>
      </c>
      <c r="F127" s="12" t="s">
        <v>155</v>
      </c>
      <c r="G127" s="12" t="s">
        <v>263</v>
      </c>
      <c r="H127" s="12" t="s">
        <v>331</v>
      </c>
      <c r="I127" s="12" t="s">
        <v>346</v>
      </c>
      <c r="J127" s="12" t="s">
        <v>383</v>
      </c>
    </row>
    <row customHeight="1" ht="33" r="128">
      <c r="B128" s="12">
        <f>HYPERLINK("https://gesdoc.uis.edu.co/share/page/folder-details?nodeRef=workspace://SpacesStore/5305adb2-83c9-45fd-9d88-2fc80324a3c0","0234_2026004843_8212")</f>
      </c>
      <c r="C128" s="12" t="s">
        <v>139</v>
      </c>
      <c r="D128" s="13" t="s">
        <v>145</v>
      </c>
      <c r="E128" s="12" t="s">
        <v>152</v>
      </c>
      <c r="F128" s="12" t="s">
        <v>155</v>
      </c>
      <c r="G128" s="12" t="s">
        <v>264</v>
      </c>
      <c r="H128" s="12" t="s">
        <v>332</v>
      </c>
      <c r="I128" s="12" t="s">
        <v>351</v>
      </c>
      <c r="J128" s="12" t="s">
        <v>382</v>
      </c>
    </row>
    <row customHeight="1" ht="33" r="129">
      <c r="B129" s="12">
        <f>HYPERLINK("https://gesdoc.uis.edu.co/share/page/folder-details?nodeRef=workspace://SpacesStore/b5499c27-a3cc-4830-a97d-7f7e9096899b","0234_2026004640_8212")</f>
      </c>
      <c r="C129" s="12" t="s">
        <v>140</v>
      </c>
      <c r="D129" s="13" t="s">
        <v>145</v>
      </c>
      <c r="E129" s="12" t="s">
        <v>152</v>
      </c>
      <c r="F129" s="12" t="s">
        <v>155</v>
      </c>
      <c r="G129" s="12" t="s">
        <v>265</v>
      </c>
      <c r="H129" s="12" t="s">
        <v>333</v>
      </c>
      <c r="I129" s="12" t="s">
        <v>351</v>
      </c>
      <c r="J129" s="12" t="s">
        <v>382</v>
      </c>
    </row>
    <row customHeight="1" ht="33" r="130">
      <c r="B130" s="12">
        <f>HYPERLINK("https://gesdoc.uis.edu.co/share/page/folder-details?nodeRef=workspace://SpacesStore/8889ab18-da7f-4f44-84d1-405416b33bae","0234_2026004841_8212")</f>
      </c>
      <c r="C130" s="12" t="s">
        <v>141</v>
      </c>
      <c r="D130" s="13" t="s">
        <v>145</v>
      </c>
      <c r="E130" s="12" t="s">
        <v>152</v>
      </c>
      <c r="F130" s="12" t="s">
        <v>155</v>
      </c>
      <c r="G130" s="12" t="s">
        <v>266</v>
      </c>
      <c r="H130" s="12" t="s">
        <v>266</v>
      </c>
      <c r="I130" s="12" t="s">
        <v>351</v>
      </c>
      <c r="J130" s="12" t="s">
        <v>382</v>
      </c>
    </row>
    <row customHeight="1" ht="33" r="131">
      <c r="B131" s="12">
        <f>HYPERLINK("https://gesdoc.uis.edu.co/share/page/folder-details?nodeRef=workspace://SpacesStore/10570b37-5021-41cd-b1d8-b6600976cae1","0018_2026002433_8212")</f>
      </c>
      <c r="C131" s="12" t="s">
        <v>142</v>
      </c>
      <c r="D131" s="13" t="s">
        <v>145</v>
      </c>
      <c r="E131" s="12" t="s">
        <v>152</v>
      </c>
      <c r="F131" s="12" t="s">
        <v>155</v>
      </c>
      <c r="G131" s="12" t="s">
        <v>267</v>
      </c>
      <c r="H131" s="12" t="s">
        <v>334</v>
      </c>
      <c r="I131" s="12" t="s">
        <v>351</v>
      </c>
      <c r="J131" s="12" t="s">
        <v>387</v>
      </c>
    </row>
    <row customHeight="1" ht="33" r="132">
      <c r="B132" s="12">
        <f>HYPERLINK("https://gesdoc.uis.edu.co/share/page/folder-details?nodeRef=workspace://SpacesStore/3c54d43b-7278-4ce3-b19f-ecbbcc874d3b","0270_2026000747_8094")</f>
      </c>
      <c r="C132" s="12" t="s">
        <v>143</v>
      </c>
      <c r="D132" s="13" t="s">
        <v>145</v>
      </c>
      <c r="E132" s="12" t="s">
        <v>152</v>
      </c>
      <c r="F132" s="12" t="s">
        <v>155</v>
      </c>
      <c r="G132" s="12" t="s">
        <v>268</v>
      </c>
      <c r="H132" s="12" t="s">
        <v>335</v>
      </c>
      <c r="I132" s="12" t="s">
        <v>352</v>
      </c>
      <c r="J132" s="12" t="s">
        <v>388</v>
      </c>
    </row>
    <row customHeight="1" ht="12.4" r="133">
      <c r="B133" s="10"/>
      <c r="C133" s="10"/>
      <c r="D133" s="10"/>
      <c r="E133" s="10"/>
      <c r="F133" s="10"/>
      <c r="G133" s="10"/>
      <c r="H133" s="10"/>
      <c r="I133" s="10"/>
      <c r="J133" s="10"/>
    </row>
    <row customHeight="1" ht="13.15" r="134">
      <c r="B134" s="10"/>
      <c r="C134" s="10"/>
      <c r="E134" s="10"/>
      <c r="F134" s="10"/>
      <c r="G134" s="10"/>
      <c r="H134" s="10"/>
      <c r="I134" s="10"/>
      <c r="J134" s="10"/>
    </row>
    <row customHeight="1" ht="13.5" r="135">
      <c r="B135" s="10"/>
      <c r="J135" s="10"/>
    </row>
    <row ht="12.75" r="136">
      <c r="B136" s="10"/>
      <c r="J136" s="10"/>
    </row>
    <row ht="12.75" r="137"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B144" s="10"/>
      <c r="C144" s="10"/>
      <c r="D144" s="10"/>
      <c r="E144" s="10"/>
      <c r="F144" s="10"/>
      <c r="G144" s="10"/>
      <c r="H144" s="10"/>
      <c r="I144" s="10"/>
      <c r="J144" s="10"/>
    </row>
    <row customHeight="1" ht="12.4" r="145"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B154" s="10"/>
      <c r="C154" s="10"/>
      <c r="D154" s="10"/>
      <c r="E154" s="10"/>
      <c r="F154" s="10"/>
      <c r="G154" s="10"/>
      <c r="H154" s="10"/>
      <c r="I154" s="10"/>
      <c r="J154" s="10"/>
    </row>
    <row customHeight="1" ht="12.4" r="155">
      <c r="B155" s="10"/>
      <c r="C155" s="10"/>
      <c r="D155" s="10"/>
      <c r="E155" s="10"/>
      <c r="F155" s="10"/>
      <c r="G155" s="10"/>
      <c r="H155" s="10"/>
      <c r="I155" s="10"/>
      <c r="J155" s="10"/>
    </row>
    <row customHeight="1" ht="12.4" r="156"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B157" s="10"/>
      <c r="C157" s="10"/>
      <c r="D157" s="10"/>
      <c r="E157" s="10"/>
      <c r="F157" s="10"/>
      <c r="G157" s="10"/>
      <c r="H157" s="10"/>
      <c r="I157" s="10"/>
      <c r="J157" s="10"/>
    </row>
    <row customHeight="1" ht="12.4" r="158">
      <c r="B158" s="10"/>
      <c r="C158" s="10"/>
      <c r="D158" s="10"/>
      <c r="E158" s="10"/>
      <c r="F158" s="10"/>
      <c r="G158" s="10"/>
      <c r="H158" s="10"/>
      <c r="I158" s="10"/>
      <c r="J158" s="10"/>
    </row>
    <row customHeight="1" ht="12.4" r="159">
      <c r="B159" s="10"/>
      <c r="C159" s="10"/>
      <c r="D159" s="10"/>
      <c r="E159" s="10"/>
      <c r="F159" s="10"/>
      <c r="G159" s="10"/>
      <c r="H159" s="10"/>
      <c r="I159" s="10"/>
      <c r="J159" s="10"/>
    </row>
    <row customHeight="1" ht="13.1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customHeight="1" ht="12.4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ht="12.75"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ht="12.75"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ht="12.75"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ht="12.75"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ht="12.75"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  <row ht="12.75"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</row>
    <row ht="12.75"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</row>
    <row ht="12.75"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</row>
    <row ht="12.75"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</row>
    <row ht="12.75"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</row>
    <row ht="12.75"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</row>
    <row ht="12.75"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</row>
    <row ht="12.75"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</row>
    <row ht="12.75"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</row>
    <row ht="12.75"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</row>
    <row ht="12.75"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</row>
    <row ht="12.75"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</row>
    <row ht="12.75"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</row>
    <row ht="12.75"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</row>
    <row ht="12.75"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</row>
    <row ht="12.75"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</row>
    <row ht="12.75"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</row>
    <row ht="12.75"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</row>
    <row ht="12.75"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</row>
    <row ht="12.75"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</row>
    <row ht="12.75"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</row>
    <row ht="12.75"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</row>
    <row ht="12.75"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</row>
    <row ht="12.75"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</row>
    <row ht="12.75"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</row>
    <row ht="12.75"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</row>
    <row ht="12.75"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</row>
    <row ht="12.75"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</row>
    <row ht="12.75"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</row>
    <row ht="12.75"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</row>
    <row ht="12.75"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</row>
    <row ht="12.75"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</row>
    <row ht="12.75" r="103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</row>
    <row ht="12.75" r="1037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</row>
    <row ht="12.75" r="1038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</row>
    <row ht="12.75" r="103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</row>
    <row ht="12.75" r="1040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</row>
    <row ht="12.75" r="104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</row>
    <row ht="12.75" r="104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</row>
    <row ht="12.75" r="1043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</row>
    <row ht="12.75" r="1044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</row>
    <row ht="12.75" r="104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</row>
    <row ht="12.75" r="1046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</row>
    <row ht="12.75" r="1047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</row>
    <row ht="12.75" r="1048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</row>
    <row ht="12.75" r="104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</row>
    <row ht="12.75" r="1050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</row>
    <row ht="12.75" r="105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</row>
    <row ht="12.75" r="105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</row>
    <row ht="12.75" r="1053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</row>
    <row ht="12.75" r="1054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</row>
    <row ht="12.75" r="105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</row>
    <row ht="12.75" r="1056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</row>
    <row ht="12.75" r="1057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</row>
    <row ht="12.75" r="1058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</row>
    <row ht="12.75" r="105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</row>
    <row ht="12.75" r="1060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</row>
    <row ht="12.75" r="1061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</row>
    <row ht="12.75" r="106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</row>
    <row ht="12.75" r="1063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</row>
    <row ht="12.75" r="1064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</row>
    <row ht="12.75" r="106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</row>
    <row ht="12.75" r="1066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</row>
    <row ht="12.75" r="1067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</row>
    <row ht="12.75" r="1068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</row>
    <row ht="12.75" r="106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</row>
    <row ht="12.75" r="1070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</row>
    <row ht="12.75" r="1071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</row>
    <row ht="12.75" r="107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</row>
    <row ht="12.75" r="1073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</row>
    <row ht="12.75" r="1074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</row>
    <row ht="12.75" r="107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</row>
    <row ht="12.75" r="1076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</row>
    <row ht="12.75" r="1077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</row>
    <row ht="12.75" r="1078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</row>
    <row ht="12.75" r="107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</row>
    <row ht="12.75" r="1080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</row>
    <row ht="12.75" r="1081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</row>
    <row ht="12.75" r="108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</row>
    <row ht="12.75" r="1083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</row>
    <row ht="12.75" r="1084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</row>
    <row ht="12.75" r="108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</row>
    <row ht="12.75" r="1086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</row>
    <row ht="12.75" r="1087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</row>
    <row ht="12.75" r="1088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</row>
    <row ht="12.75" r="1089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</row>
    <row ht="12.75" r="1090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</row>
    <row ht="12.75" r="1091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</row>
    <row ht="12.75" r="109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</row>
    <row ht="12.75" r="1093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</row>
    <row ht="12.75" r="1094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</row>
    <row ht="12.75" r="1095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</row>
    <row ht="12.75" r="1096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</row>
    <row ht="12.75" r="1097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</row>
    <row ht="12.75" r="1098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</row>
    <row ht="12.75" r="1099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</row>
    <row ht="12.75" r="1100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</row>
    <row ht="12.75" r="1101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</row>
    <row ht="12.75" r="110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</row>
    <row ht="12.75" r="1103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</row>
    <row ht="12.75" r="1104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</row>
    <row ht="12.75" r="1105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</row>
    <row ht="12.75" r="1106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</row>
    <row ht="12.75" r="1107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</row>
    <row ht="12.75" r="1108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</row>
    <row ht="12.75" r="110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</row>
    <row ht="12.75" r="1110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</row>
    <row ht="12.75" r="1111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</row>
    <row ht="12.75" r="111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</row>
    <row ht="12.75" r="1113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</row>
    <row ht="12.75" r="1114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</row>
    <row ht="12.75" r="111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</row>
    <row ht="12.75" r="1116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