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<sst xmlns="http://schemas.openxmlformats.org/spreadsheetml/2006/main" count="204" uniqueCount="204">
  <si>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</si>
  <si>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</si>
  <si>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</si>
  <si>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</si>
  <si>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</si>
  <si>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</si>
  <si>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</si>
  <si>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</si>
  <si>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</si>
  <si>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</si>
  <si>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</si>
  <si>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</si>
  <si>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</si>
  <si>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</si>
  <si>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</si>
  <si>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</si>
  <si>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</si>
  <si>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</si>
  <si>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</si>
  <si>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</si>
  <si>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</si>
  <si>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</si>
  <si>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25/08/2026 al ${table:fechaHasta}</t>
  </si>
  <si>
    <t>Fecha del reporte: 25/08/2026 al 31/08/2026</t>
  </si>
  <si>
    <t>20-2026000322</t>
  </si>
  <si>
    <t>20-2026000297</t>
  </si>
  <si>
    <t>20-2026000287</t>
  </si>
  <si>
    <t>18-2026002490</t>
  </si>
  <si>
    <t>20-2026000344</t>
  </si>
  <si>
    <t>20-2026000340</t>
  </si>
  <si>
    <t>20-2026000339</t>
  </si>
  <si>
    <t/>
  </si>
  <si>
    <t>20-2026000345</t>
  </si>
  <si>
    <t>20-2026000309</t>
  </si>
  <si>
    <t>18-2026002453</t>
  </si>
  <si>
    <t>18-2026002472</t>
  </si>
  <si>
    <t>20-2026000234</t>
  </si>
  <si>
    <t>20-2026000346</t>
  </si>
  <si>
    <t>234-2026002514</t>
  </si>
  <si>
    <t>234-2026004581</t>
  </si>
  <si>
    <t>20-2026000347</t>
  </si>
  <si>
    <t>234-2026004585</t>
  </si>
  <si>
    <t>18-2026002434</t>
  </si>
  <si>
    <t>234-2026002516</t>
  </si>
  <si>
    <t>234-2026002521</t>
  </si>
  <si>
    <t>234-2026003487</t>
  </si>
  <si>
    <t>234-2026002502</t>
  </si>
  <si>
    <t>234-2026002501</t>
  </si>
  <si>
    <t>20-2026000361</t>
  </si>
  <si>
    <t>234-2026002531</t>
  </si>
  <si>
    <t>234-2026002506</t>
  </si>
  <si>
    <t>234-2026002512</t>
  </si>
  <si>
    <t>49-2025000023</t>
  </si>
  <si>
    <t>234-2026002503</t>
  </si>
  <si>
    <t>234-2026002504</t>
  </si>
  <si>
    <t>18-2026002481</t>
  </si>
  <si>
    <t>234-2026004587</t>
  </si>
  <si>
    <t>234-2026002500</t>
  </si>
  <si>
    <t>234-2025014354</t>
  </si>
  <si>
    <t>234-2025016378</t>
  </si>
  <si>
    <t>234-2026000666</t>
  </si>
  <si>
    <t>234-2026000620</t>
  </si>
  <si>
    <t>234-2026000622</t>
  </si>
  <si>
    <t>234-2026000636</t>
  </si>
  <si>
    <t>234-2026000608</t>
  </si>
  <si>
    <t>234-2026000039</t>
  </si>
  <si>
    <t>234-2026000613</t>
  </si>
  <si>
    <t>234-2026000614</t>
  </si>
  <si>
    <t>234-2026000615</t>
  </si>
  <si>
    <t>234-2026000617</t>
  </si>
  <si>
    <t>234-2026002111</t>
  </si>
  <si>
    <t>234-2026000671</t>
  </si>
  <si>
    <t>234-2026000791</t>
  </si>
  <si>
    <t>234-2026002249</t>
  </si>
  <si>
    <t>234-2026002499</t>
  </si>
  <si>
    <t>20-2026000349</t>
  </si>
  <si>
    <t>234-2026004843</t>
  </si>
  <si>
    <t>234-2026004640</t>
  </si>
  <si>
    <t>234-2026004841</t>
  </si>
  <si>
    <t>270-2026000747</t>
  </si>
  <si>
    <t>20-2026000360</t>
  </si>
  <si>
    <t>18-2026002501</t>
  </si>
  <si>
    <t>4115_DIEF_CIENCIAS_HUMANAS</t>
  </si>
  <si>
    <t>4112_COORD_PROGRAMAS_PROYECTOS</t>
  </si>
  <si>
    <t>4117_DIEF_FISICO_MECANICAS</t>
  </si>
  <si>
    <t>4112_PROYECTO_8944</t>
  </si>
  <si>
    <t>4114_DIEF_CIENCIAS</t>
  </si>
  <si>
    <t>4116_DIEF_FISICO_QUIMICAS</t>
  </si>
  <si>
    <t>4118_DIEF_SALUD</t>
  </si>
  <si>
    <t>4112_PROYECTO_8943</t>
  </si>
  <si>
    <t>P11_PROYECTOS</t>
  </si>
  <si>
    <t>P11.03_PROYECTOS_INVEST_FINAN_INTERNA</t>
  </si>
  <si>
    <t>P11.02_PROY_INVEST_FINAN_EXT</t>
  </si>
  <si>
    <t>P11.13_PROY_REGALIAS_SGR</t>
  </si>
  <si>
    <t>P11.14_APOYO_GRUPOS_INVEST</t>
  </si>
  <si>
    <t>25/08/2026 11:33</t>
  </si>
  <si>
    <t>25/08/2026 11:34</t>
  </si>
  <si>
    <t>25/08/2026 11:26</t>
  </si>
  <si>
    <t>25/08/2026 20:27</t>
  </si>
  <si>
    <t>25/08/2026 14:41</t>
  </si>
  <si>
    <t>26/08/2026 15:14</t>
  </si>
  <si>
    <t>26/08/2026 15:12</t>
  </si>
  <si>
    <t>27/08/2026 10:04</t>
  </si>
  <si>
    <t>26/08/2026 11:22</t>
  </si>
  <si>
    <t>26/08/2026 09:26</t>
  </si>
  <si>
    <t>26/08/2026 16:13</t>
  </si>
  <si>
    <t>26/08/2026 16:50</t>
  </si>
  <si>
    <t>26/08/2026 16:03</t>
  </si>
  <si>
    <t>27/08/2026 09:25</t>
  </si>
  <si>
    <t>28/08/2026 11:02</t>
  </si>
  <si>
    <t>28/08/2026 14:55</t>
  </si>
  <si>
    <t>28/08/2026 08:10</t>
  </si>
  <si>
    <t>28/08/2026 14:59</t>
  </si>
  <si>
    <t>27/08/2026 10:12</t>
  </si>
  <si>
    <t>28/08/2026 11:03</t>
  </si>
  <si>
    <t>28/08/2026 11:08</t>
  </si>
  <si>
    <t>28/08/2026 11:23</t>
  </si>
  <si>
    <t>28/08/2026 10:40</t>
  </si>
  <si>
    <t>28/08/2026 10:35</t>
  </si>
  <si>
    <t>28/08/2026 11:16</t>
  </si>
  <si>
    <t>28/08/2026 11:15</t>
  </si>
  <si>
    <t>28/08/2026 10:53</t>
  </si>
  <si>
    <t>28/08/2026 10:56</t>
  </si>
  <si>
    <t>28/08/2026 10:41</t>
  </si>
  <si>
    <t>28/08/2026 10:43</t>
  </si>
  <si>
    <t>28/08/2026 10:45</t>
  </si>
  <si>
    <t>28/08/2026 11:54</t>
  </si>
  <si>
    <t>28/08/2026 15:03</t>
  </si>
  <si>
    <t>27/08/2026 16:07</t>
  </si>
  <si>
    <t>27/08/2026 09:57</t>
  </si>
  <si>
    <t>27/08/2026 09:58</t>
  </si>
  <si>
    <t>27/08/2026 15:37</t>
  </si>
  <si>
    <t>27/08/2026 15:24</t>
  </si>
  <si>
    <t>27/08/2026 15:27</t>
  </si>
  <si>
    <t>27/08/2026 15:33</t>
  </si>
  <si>
    <t>27/08/2026 11:48</t>
  </si>
  <si>
    <t>27/08/2026 11:49</t>
  </si>
  <si>
    <t>27/08/2026 15:14</t>
  </si>
  <si>
    <t>27/08/2026 15:17</t>
  </si>
  <si>
    <t>27/08/2026 15:20</t>
  </si>
  <si>
    <t>27/08/2026 15:56</t>
  </si>
  <si>
    <t>27/08/2026 15:41</t>
  </si>
  <si>
    <t>27/08/2026 15:46</t>
  </si>
  <si>
    <t>27/08/2026 15:59</t>
  </si>
  <si>
    <t>27/08/2026 16:01</t>
  </si>
  <si>
    <t>28/08/2026 08:29</t>
  </si>
  <si>
    <t>28/08/2026 15:48</t>
  </si>
  <si>
    <t>28/08/2026 15:41</t>
  </si>
  <si>
    <t>28/08/2026 15:44</t>
  </si>
  <si>
    <t>31/08/2026 11:35</t>
  </si>
  <si>
    <t>28/08/2026 16:37</t>
  </si>
  <si>
    <t>28/08/2026 19:17</t>
  </si>
  <si>
    <t>25/08/2026 11:35</t>
  </si>
  <si>
    <t>25/08/2026 14:44</t>
  </si>
  <si>
    <t>26/08/2026 15:15</t>
  </si>
  <si>
    <t>27/08/2026 10:05</t>
  </si>
  <si>
    <t>26/08/2026 11:24</t>
  </si>
  <si>
    <t>26/08/2026 09:27</t>
  </si>
  <si>
    <t>26/08/2026 16:04</t>
  </si>
  <si>
    <t>28/08/2026 14:57</t>
  </si>
  <si>
    <t>28/08/2026 14:41</t>
  </si>
  <si>
    <t>28/08/2026 15:02</t>
  </si>
  <si>
    <t>27/08/2026 11:00</t>
  </si>
  <si>
    <t>28/08/2026 11:10</t>
  </si>
  <si>
    <t>28/08/2026 11:19</t>
  </si>
  <si>
    <t>28/08/2026 10:54</t>
  </si>
  <si>
    <t>28/08/2026 10:46</t>
  </si>
  <si>
    <t>28/08/2026 15:17</t>
  </si>
  <si>
    <t>27/08/2026 16:08</t>
  </si>
  <si>
    <t>27/08/2026 09:59</t>
  </si>
  <si>
    <t>27/08/2026 15:34</t>
  </si>
  <si>
    <t>27/08/2026 15:57</t>
  </si>
  <si>
    <t>27/08/2026 15:47</t>
  </si>
  <si>
    <t>27/08/2026 16:02</t>
  </si>
  <si>
    <t>28/08/2026 11:35</t>
  </si>
  <si>
    <t>28/08/2026 15:50</t>
  </si>
  <si>
    <t>28/08/2026 15:42</t>
  </si>
  <si>
    <t>31/08/2026 11:36</t>
  </si>
  <si>
    <t>31/08/2026 16:02</t>
  </si>
  <si>
    <t>01/09/2026 15:32</t>
  </si>
  <si>
    <t>8096_CONTRATO_474_2025</t>
  </si>
  <si>
    <t>8944_BPIN_2024000100037_2023</t>
  </si>
  <si>
    <t>8097_CONTRATO_474_2025</t>
  </si>
  <si>
    <t>8212_CONTRATO_7000000124_2025</t>
  </si>
  <si>
    <t>8288_CONTRATO_2022_0724</t>
  </si>
  <si>
    <t>8943_BPIN_2024000100031_2025</t>
  </si>
  <si>
    <t>8054_CONTRATO_101137283_2023</t>
  </si>
  <si>
    <t>8094_ATN-PS-20993-CO 8CO-T1754)</t>
  </si>
  <si>
    <t>ORDENES_COMPRA</t>
  </si>
  <si>
    <t>8096_ORDEN_COMPRA</t>
  </si>
  <si>
    <t>4624_ORDENES_PRESTACION_SERVICIOS</t>
  </si>
  <si>
    <t>8944_ORDEN_COMPRA</t>
  </si>
  <si>
    <t>4675_ORDENES_COMPRA</t>
  </si>
  <si>
    <t>4669_ORDENES_COMPRA</t>
  </si>
  <si>
    <t>REGISTRO_CONTRACTUAL</t>
  </si>
  <si>
    <t>8097_ORDEN_COMPRA</t>
  </si>
  <si>
    <t>ORDENES_PRESTACION_SERVICIOS</t>
  </si>
  <si>
    <t>8212_ORDEN_PAGO_MANUAL</t>
  </si>
  <si>
    <t>8288_ORDEN_COMPRA</t>
  </si>
  <si>
    <t>4259_ORDENES_PRESTACION_SERVICIOS</t>
  </si>
  <si>
    <t>8943_ORDEN_COMPRA_IMPORTACION</t>
  </si>
  <si>
    <t>8054_ORDEN_PAGO_MANUAL</t>
  </si>
  <si>
    <t>8094_COMPONENTE FINANCIERO</t>
  </si>
  <si>
    <t>4695_ORDENES_PRESTACION_SERVICIOS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</si>
</sst>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HYPERLINK("https://gesdoc.uis.edu.co/share/page/folder-details?nodeRef=workspace://SpacesStore/806bbd9a-301c-4bea-aa31-63cb4530945f","0020_2026000322_4612")</f>
      </c>
      <c r="C13" s="12" t="s">
        <v>24</v>
      </c>
      <c r="D13" s="13" t="s">
        <v>82</v>
      </c>
      <c r="E13" s="12" t="s">
        <v>90</v>
      </c>
      <c r="F13" s="12" t="s">
        <v>91</v>
      </c>
      <c r="G13" s="12" t="s">
        <v>95</v>
      </c>
      <c r="H13" s="12" t="s">
        <v>152</v>
      </c>
      <c r="I13" s="12">
        <v>4612</v>
      </c>
      <c r="J13" s="12" t="s">
        <v>188</v>
      </c>
    </row>
    <row customHeight="1" ht="33" r="14">
      <c r="B14" s="12">
        <f>HYPERLINK("https://gesdoc.uis.edu.co/share/page/folder-details?nodeRef=workspace://SpacesStore/f096a282-fcd5-4b11-9240-b3a92bea88dd","0020_2026000297_4644")</f>
      </c>
      <c r="C14" s="12" t="s">
        <v>25</v>
      </c>
      <c r="D14" s="13" t="s">
        <v>82</v>
      </c>
      <c r="E14" s="12" t="s">
        <v>90</v>
      </c>
      <c r="F14" s="12" t="s">
        <v>91</v>
      </c>
      <c r="G14" s="12" t="s">
        <v>96</v>
      </c>
      <c r="H14" s="12" t="s">
        <v>152</v>
      </c>
      <c r="I14" s="12">
        <v>4644</v>
      </c>
      <c r="J14" s="12" t="s">
        <v>188</v>
      </c>
    </row>
    <row customHeight="1" ht="33" r="15">
      <c r="B15" s="12">
        <f>HYPERLINK("https://gesdoc.uis.edu.co/share/page/folder-details?nodeRef=workspace://SpacesStore/39d87335-1fde-4be5-a266-da495ea1f3fd","0020_2026000287_8096")</f>
      </c>
      <c r="C15" s="12" t="s">
        <v>26</v>
      </c>
      <c r="D15" s="13" t="s">
        <v>83</v>
      </c>
      <c r="E15" s="12" t="s">
        <v>90</v>
      </c>
      <c r="F15" s="12" t="s">
        <v>92</v>
      </c>
      <c r="G15" s="12" t="s">
        <v>97</v>
      </c>
      <c r="H15" s="12" t="s">
        <v>97</v>
      </c>
      <c r="I15" s="12" t="s">
        <v>180</v>
      </c>
      <c r="J15" s="12" t="s">
        <v>189</v>
      </c>
    </row>
    <row customHeight="1" ht="33" r="16">
      <c r="B16" s="12">
        <f>HYPERLINK("https://gesdoc.uis.edu.co/share/page/folder-details?nodeRef=workspace://SpacesStore/0ea5e2e4-a921-49db-b146-9f22531e3a86","0018_2026002490_4624")</f>
      </c>
      <c r="C16" s="12" t="s">
        <v>27</v>
      </c>
      <c r="D16" s="13" t="s">
        <v>84</v>
      </c>
      <c r="E16" s="12" t="s">
        <v>90</v>
      </c>
      <c r="F16" s="12" t="s">
        <v>91</v>
      </c>
      <c r="G16" s="12" t="s">
        <v>98</v>
      </c>
      <c r="H16" s="12" t="s">
        <v>98</v>
      </c>
      <c r="I16" s="12">
        <v>4624</v>
      </c>
      <c r="J16" s="12" t="s">
        <v>190</v>
      </c>
    </row>
    <row customHeight="1" ht="33" r="17">
      <c r="B17" s="12">
        <f>HYPERLINK("https://gesdoc.uis.edu.co/share/page/folder-details?nodeRef=workspace://SpacesStore/9370b6e5-405f-40c9-9bbf-45602e4d60de","0020_2026000344_8944")</f>
      </c>
      <c r="C17" s="12" t="s">
        <v>28</v>
      </c>
      <c r="D17" s="13" t="s">
        <v>85</v>
      </c>
      <c r="E17" s="12" t="s">
        <v>90</v>
      </c>
      <c r="F17" s="12" t="s">
        <v>93</v>
      </c>
      <c r="G17" s="12" t="s">
        <v>99</v>
      </c>
      <c r="H17" s="12" t="s">
        <v>153</v>
      </c>
      <c r="I17" s="12" t="s">
        <v>181</v>
      </c>
      <c r="J17" s="12" t="s">
        <v>191</v>
      </c>
    </row>
    <row customHeight="1" ht="33" r="18">
      <c r="B18" s="12">
        <f>HYPERLINK("https://gesdoc.uis.edu.co/share/page/folder-details?nodeRef=workspace://SpacesStore/b284cc40-24a1-4b19-b4bc-6dfbc79a534a","0020_2026000340_4675")</f>
      </c>
      <c r="C18" s="12" t="s">
        <v>29</v>
      </c>
      <c r="D18" s="13" t="s">
        <v>86</v>
      </c>
      <c r="E18" s="12" t="s">
        <v>90</v>
      </c>
      <c r="F18" s="12" t="s">
        <v>94</v>
      </c>
      <c r="G18" s="12" t="s">
        <v>100</v>
      </c>
      <c r="H18" s="12" t="s">
        <v>154</v>
      </c>
      <c r="I18" s="12">
        <v>4675</v>
      </c>
      <c r="J18" s="12" t="s">
        <v>192</v>
      </c>
    </row>
    <row customHeight="1" ht="33" r="19">
      <c r="B19" s="12">
        <f>HYPERLINK("https://gesdoc.uis.edu.co/share/page/folder-details?nodeRef=workspace://SpacesStore/7b3f1a48-acc6-4d3a-9efc-98c74e6a7998","0020_2026000339_4669")</f>
      </c>
      <c r="C19" s="12" t="s">
        <v>30</v>
      </c>
      <c r="D19" s="13" t="s">
        <v>86</v>
      </c>
      <c r="E19" s="12" t="s">
        <v>90</v>
      </c>
      <c r="F19" s="12" t="s">
        <v>94</v>
      </c>
      <c r="G19" s="12" t="s">
        <v>101</v>
      </c>
      <c r="H19" s="12" t="s">
        <v>100</v>
      </c>
      <c r="I19" s="12">
        <v>4669</v>
      </c>
      <c r="J19" s="12" t="s">
        <v>193</v>
      </c>
    </row>
    <row customHeight="1" ht="33" r="20">
      <c r="B20" s="12">
        <f>HYPERLINK("https://gesdoc.uis.edu.co/share/page/folder-details?nodeRef=workspace://SpacesStore/d783b484-7dc7-402d-a2a1-622a281dfcf1","270_2026000743_4619")</f>
      </c>
      <c r="C20" s="12" t="s">
        <v>31</v>
      </c>
      <c r="D20" s="13" t="s">
        <v>87</v>
      </c>
      <c r="E20" s="12" t="s">
        <v>90</v>
      </c>
      <c r="F20" s="12" t="s">
        <v>91</v>
      </c>
      <c r="G20" s="12" t="s">
        <v>102</v>
      </c>
      <c r="H20" s="12" t="s">
        <v>155</v>
      </c>
      <c r="I20" s="12">
        <v>4619</v>
      </c>
      <c r="J20" s="12" t="s">
        <v>194</v>
      </c>
    </row>
    <row customHeight="1" ht="33" r="21">
      <c r="B21" s="12">
        <f>HYPERLINK("https://gesdoc.uis.edu.co/share/page/folder-details?nodeRef=workspace://SpacesStore/20381c0c-f17b-4adf-b121-a3cb32314fcb","0020_2026000345_8097")</f>
      </c>
      <c r="C21" s="12" t="s">
        <v>32</v>
      </c>
      <c r="D21" s="13" t="s">
        <v>83</v>
      </c>
      <c r="E21" s="12" t="s">
        <v>90</v>
      </c>
      <c r="F21" s="12" t="s">
        <v>92</v>
      </c>
      <c r="G21" s="12" t="s">
        <v>103</v>
      </c>
      <c r="H21" s="12" t="s">
        <v>156</v>
      </c>
      <c r="I21" s="12" t="s">
        <v>182</v>
      </c>
      <c r="J21" s="12" t="s">
        <v>195</v>
      </c>
    </row>
    <row customHeight="1" ht="33" r="22">
      <c r="B22" s="12">
        <f>HYPERLINK("https://gesdoc.uis.edu.co/share/page/folder-details?nodeRef=workspace://SpacesStore/26bacbe7-8db8-4458-91e1-6300adb22032","0020_2026000309_8097")</f>
      </c>
      <c r="C22" s="12" t="s">
        <v>33</v>
      </c>
      <c r="D22" s="13" t="s">
        <v>83</v>
      </c>
      <c r="E22" s="12" t="s">
        <v>90</v>
      </c>
      <c r="F22" s="12" t="s">
        <v>92</v>
      </c>
      <c r="G22" s="12" t="s">
        <v>104</v>
      </c>
      <c r="H22" s="12" t="s">
        <v>157</v>
      </c>
      <c r="I22" s="12" t="s">
        <v>182</v>
      </c>
      <c r="J22" s="12" t="s">
        <v>195</v>
      </c>
    </row>
    <row customHeight="1" ht="33" r="23">
      <c r="B23" s="12">
        <f>HYPERLINK("https://gesdoc.uis.edu.co/share/page/folder-details?nodeRef=workspace://SpacesStore/8eb94ad1-b081-4516-8580-c61b82efd625","0018_2026002453_4609")</f>
      </c>
      <c r="C23" s="12" t="s">
        <v>34</v>
      </c>
      <c r="D23" s="13" t="s">
        <v>87</v>
      </c>
      <c r="E23" s="12" t="s">
        <v>90</v>
      </c>
      <c r="F23" s="12" t="s">
        <v>91</v>
      </c>
      <c r="G23" s="12" t="s">
        <v>105</v>
      </c>
      <c r="H23" s="12" t="s">
        <v>105</v>
      </c>
      <c r="I23" s="12">
        <v>4609</v>
      </c>
      <c r="J23" s="12" t="s">
        <v>196</v>
      </c>
    </row>
    <row customHeight="1" ht="33" r="24">
      <c r="B24" s="12">
        <f>HYPERLINK("https://gesdoc.uis.edu.co/share/page/folder-details?nodeRef=workspace://SpacesStore/8e64ca78-fb4f-44ff-a45e-a1d047168c45","0018_2026002472_4619")</f>
      </c>
      <c r="C24" s="12" t="s">
        <v>35</v>
      </c>
      <c r="D24" s="13" t="s">
        <v>87</v>
      </c>
      <c r="E24" s="12" t="s">
        <v>90</v>
      </c>
      <c r="F24" s="12" t="s">
        <v>91</v>
      </c>
      <c r="G24" s="12" t="s">
        <v>106</v>
      </c>
      <c r="H24" s="12" t="s">
        <v>106</v>
      </c>
      <c r="I24" s="12">
        <v>4619</v>
      </c>
      <c r="J24" s="12" t="s">
        <v>196</v>
      </c>
    </row>
    <row customHeight="1" ht="33" r="25">
      <c r="B25" s="12">
        <f>HYPERLINK("https://gesdoc.uis.edu.co/share/page/folder-details?nodeRef=workspace://SpacesStore/cf848ebc-2a87-4c54-ad4d-0c24d87406ab","0020_2026000234_4691")</f>
      </c>
      <c r="C25" s="12" t="s">
        <v>36</v>
      </c>
      <c r="D25" s="13" t="s">
        <v>87</v>
      </c>
      <c r="E25" s="12" t="s">
        <v>90</v>
      </c>
      <c r="F25" s="12" t="s">
        <v>94</v>
      </c>
      <c r="G25" s="12" t="s">
        <v>107</v>
      </c>
      <c r="H25" s="12" t="s">
        <v>158</v>
      </c>
      <c r="I25" s="12">
        <v>4691</v>
      </c>
      <c r="J25" s="12" t="s">
        <v>188</v>
      </c>
    </row>
    <row customHeight="1" ht="33" r="26">
      <c r="B26" s="12">
        <f>HYPERLINK("https://gesdoc.uis.edu.co/share/page/folder-details?nodeRef=workspace://SpacesStore/e234f606-f7ee-4caf-b336-0ce0ddec489c","0020_2026000346_8096")</f>
      </c>
      <c r="C26" s="12" t="s">
        <v>37</v>
      </c>
      <c r="D26" s="13" t="s">
        <v>83</v>
      </c>
      <c r="E26" s="12" t="s">
        <v>90</v>
      </c>
      <c r="F26" s="12" t="s">
        <v>92</v>
      </c>
      <c r="G26" s="12" t="s">
        <v>108</v>
      </c>
      <c r="H26" s="12" t="s">
        <v>109</v>
      </c>
      <c r="I26" s="12" t="s">
        <v>180</v>
      </c>
      <c r="J26" s="12" t="s">
        <v>189</v>
      </c>
    </row>
    <row customHeight="1" ht="33" r="27">
      <c r="B27" s="12">
        <f>HYPERLINK("https://gesdoc.uis.edu.co/share/page/folder-details?nodeRef=workspace://SpacesStore/8c758de7-0ac0-4dfb-a0d0-4df0e31490c0","0234_2026002514_8212")</f>
      </c>
      <c r="C27" s="12" t="s">
        <v>38</v>
      </c>
      <c r="D27" s="13" t="s">
        <v>83</v>
      </c>
      <c r="E27" s="12" t="s">
        <v>90</v>
      </c>
      <c r="F27" s="12" t="s">
        <v>92</v>
      </c>
      <c r="G27" s="12" t="s">
        <v>109</v>
      </c>
      <c r="H27" s="12" t="s">
        <v>109</v>
      </c>
      <c r="I27" s="12" t="s">
        <v>183</v>
      </c>
      <c r="J27" s="12" t="s">
        <v>197</v>
      </c>
    </row>
    <row customHeight="1" ht="33" r="28">
      <c r="B28" s="12">
        <f>HYPERLINK("https://gesdoc.uis.edu.co/share/page/folder-details?nodeRef=workspace://SpacesStore/967a8440-9cfb-46c8-beb3-8e81f485b004","0234_2026004581_8212")</f>
      </c>
      <c r="C28" s="12" t="s">
        <v>39</v>
      </c>
      <c r="D28" s="13" t="s">
        <v>83</v>
      </c>
      <c r="E28" s="12" t="s">
        <v>90</v>
      </c>
      <c r="F28" s="12" t="s">
        <v>92</v>
      </c>
      <c r="G28" s="12" t="s">
        <v>110</v>
      </c>
      <c r="H28" s="12" t="s">
        <v>159</v>
      </c>
      <c r="I28" s="12" t="s">
        <v>183</v>
      </c>
      <c r="J28" s="12" t="s">
        <v>197</v>
      </c>
    </row>
    <row customHeight="1" ht="33" r="29">
      <c r="B29" s="12">
        <f>HYPERLINK("https://gesdoc.uis.edu.co/share/page/folder-details?nodeRef=workspace://SpacesStore/45b0d4c7-b0a3-4ec8-bb92-517cc5a60697","0020_2026000347_8288")</f>
      </c>
      <c r="C29" s="12" t="s">
        <v>40</v>
      </c>
      <c r="D29" s="13" t="s">
        <v>83</v>
      </c>
      <c r="E29" s="12" t="s">
        <v>90</v>
      </c>
      <c r="F29" s="12" t="s">
        <v>92</v>
      </c>
      <c r="G29" s="12" t="s">
        <v>111</v>
      </c>
      <c r="H29" s="12" t="s">
        <v>160</v>
      </c>
      <c r="I29" s="12" t="s">
        <v>184</v>
      </c>
      <c r="J29" s="12" t="s">
        <v>198</v>
      </c>
    </row>
    <row customHeight="1" ht="33" r="30">
      <c r="B30" s="12">
        <f>HYPERLINK("https://gesdoc.uis.edu.co/share/page/folder-details?nodeRef=workspace://SpacesStore/4ffbdd24-b33c-4f06-8ba1-3b941852f7e6","0234_2026004585_8212")</f>
      </c>
      <c r="C30" s="12" t="s">
        <v>41</v>
      </c>
      <c r="D30" s="13" t="s">
        <v>83</v>
      </c>
      <c r="E30" s="12" t="s">
        <v>90</v>
      </c>
      <c r="F30" s="12" t="s">
        <v>92</v>
      </c>
      <c r="G30" s="12" t="s">
        <v>112</v>
      </c>
      <c r="H30" s="12" t="s">
        <v>161</v>
      </c>
      <c r="I30" s="12" t="s">
        <v>183</v>
      </c>
      <c r="J30" s="12" t="s">
        <v>197</v>
      </c>
    </row>
    <row customHeight="1" ht="33" r="31">
      <c r="B31" s="12">
        <f>HYPERLINK("https://gesdoc.uis.edu.co/share/page/folder-details?nodeRef=workspace://SpacesStore/247e5394-acf7-4679-bfc7-603bfa6c10bf","0018_2026002434_4259")</f>
      </c>
      <c r="C31" s="12" t="s">
        <v>42</v>
      </c>
      <c r="D31" s="13" t="s">
        <v>88</v>
      </c>
      <c r="E31" s="12" t="s">
        <v>90</v>
      </c>
      <c r="F31" s="12" t="s">
        <v>91</v>
      </c>
      <c r="G31" s="12" t="s">
        <v>113</v>
      </c>
      <c r="H31" s="12" t="s">
        <v>162</v>
      </c>
      <c r="I31" s="12">
        <v>4259</v>
      </c>
      <c r="J31" s="12" t="s">
        <v>199</v>
      </c>
    </row>
    <row customHeight="1" ht="33" r="32">
      <c r="B32" s="12">
        <f>HYPERLINK("https://gesdoc.uis.edu.co/share/page/folder-details?nodeRef=workspace://SpacesStore/3285a3ed-3053-4e39-8c62-d53946647817","0234_2026002516_8212")</f>
      </c>
      <c r="C32" s="12" t="s">
        <v>43</v>
      </c>
      <c r="D32" s="13" t="s">
        <v>83</v>
      </c>
      <c r="E32" s="12" t="s">
        <v>90</v>
      </c>
      <c r="F32" s="12" t="s">
        <v>92</v>
      </c>
      <c r="G32" s="12" t="s">
        <v>114</v>
      </c>
      <c r="H32" s="12" t="s">
        <v>115</v>
      </c>
      <c r="I32" s="12" t="s">
        <v>183</v>
      </c>
      <c r="J32" s="12" t="s">
        <v>197</v>
      </c>
    </row>
    <row customHeight="1" ht="33" r="33">
      <c r="B33" s="12">
        <f>HYPERLINK("https://gesdoc.uis.edu.co/share/page/folder-details?nodeRef=workspace://SpacesStore/957e371a-51c6-4d8c-af8d-79a14e62cdc5","0234_2026002521_8212")</f>
      </c>
      <c r="C33" s="12" t="s">
        <v>44</v>
      </c>
      <c r="D33" s="13" t="s">
        <v>83</v>
      </c>
      <c r="E33" s="12" t="s">
        <v>90</v>
      </c>
      <c r="F33" s="12" t="s">
        <v>92</v>
      </c>
      <c r="G33" s="12" t="s">
        <v>115</v>
      </c>
      <c r="H33" s="12" t="s">
        <v>163</v>
      </c>
      <c r="I33" s="12" t="s">
        <v>183</v>
      </c>
      <c r="J33" s="12" t="s">
        <v>197</v>
      </c>
    </row>
    <row customHeight="1" ht="33" r="34">
      <c r="B34" s="12">
        <f>HYPERLINK("https://gesdoc.uis.edu.co/share/page/folder-details?nodeRef=workspace://SpacesStore/7a2fc04f-9cab-40f1-b5a2-c3bf43a5a2f0","0234_2026003487_8212")</f>
      </c>
      <c r="C34" s="12" t="s">
        <v>45</v>
      </c>
      <c r="D34" s="13" t="s">
        <v>83</v>
      </c>
      <c r="E34" s="12" t="s">
        <v>90</v>
      </c>
      <c r="F34" s="12" t="s">
        <v>92</v>
      </c>
      <c r="G34" s="12" t="s">
        <v>116</v>
      </c>
      <c r="H34" s="12" t="s">
        <v>116</v>
      </c>
      <c r="I34" s="12" t="s">
        <v>183</v>
      </c>
      <c r="J34" s="12" t="s">
        <v>197</v>
      </c>
    </row>
    <row customHeight="1" ht="33" r="35">
      <c r="B35" s="12">
        <f>HYPERLINK("https://gesdoc.uis.edu.co/share/page/folder-details?nodeRef=workspace://SpacesStore/3b083619-e239-490e-a421-388c4c93b087","0234_2026002502_8212")</f>
      </c>
      <c r="C35" s="12" t="s">
        <v>46</v>
      </c>
      <c r="D35" s="13" t="s">
        <v>83</v>
      </c>
      <c r="E35" s="12" t="s">
        <v>90</v>
      </c>
      <c r="F35" s="12" t="s">
        <v>92</v>
      </c>
      <c r="G35" s="12" t="s">
        <v>117</v>
      </c>
      <c r="H35" s="12" t="s">
        <v>117</v>
      </c>
      <c r="I35" s="12" t="s">
        <v>183</v>
      </c>
      <c r="J35" s="12" t="s">
        <v>197</v>
      </c>
    </row>
    <row customHeight="1" ht="33" r="36">
      <c r="B36" s="12">
        <f>HYPERLINK("https://gesdoc.uis.edu.co/share/page/folder-details?nodeRef=workspace://SpacesStore/99a244e8-36ec-44c1-8daa-6f5d14d3e313","0234_2026002501_8212")</f>
      </c>
      <c r="C36" s="12" t="s">
        <v>47</v>
      </c>
      <c r="D36" s="13" t="s">
        <v>83</v>
      </c>
      <c r="E36" s="12" t="s">
        <v>90</v>
      </c>
      <c r="F36" s="12" t="s">
        <v>92</v>
      </c>
      <c r="G36" s="12" t="s">
        <v>118</v>
      </c>
      <c r="H36" s="12" t="s">
        <v>118</v>
      </c>
      <c r="I36" s="12" t="s">
        <v>183</v>
      </c>
      <c r="J36" s="12" t="s">
        <v>197</v>
      </c>
    </row>
    <row customHeight="1" ht="33" r="37">
      <c r="B37" s="12">
        <f>HYPERLINK("https://gesdoc.uis.edu.co/share/page/folder-details?nodeRef=workspace://SpacesStore/b3785d9c-4493-4aac-b39b-243fda0d8c4b","0020_2026000361_8096")</f>
      </c>
      <c r="C37" s="12" t="s">
        <v>48</v>
      </c>
      <c r="D37" s="13" t="s">
        <v>83</v>
      </c>
      <c r="E37" s="12" t="s">
        <v>90</v>
      </c>
      <c r="F37" s="12" t="s">
        <v>92</v>
      </c>
      <c r="G37" s="12" t="s">
        <v>119</v>
      </c>
      <c r="H37" s="12" t="s">
        <v>119</v>
      </c>
      <c r="I37" s="12" t="s">
        <v>180</v>
      </c>
      <c r="J37" s="12" t="s">
        <v>189</v>
      </c>
    </row>
    <row customHeight="1" ht="33" r="38">
      <c r="B38" s="12">
        <f>HYPERLINK("https://gesdoc.uis.edu.co/share/page/folder-details?nodeRef=workspace://SpacesStore/91da5753-337a-4891-b9f7-42de42ff39cf","0234_2026002531_8212")</f>
      </c>
      <c r="C38" s="12" t="s">
        <v>49</v>
      </c>
      <c r="D38" s="13" t="s">
        <v>83</v>
      </c>
      <c r="E38" s="12" t="s">
        <v>90</v>
      </c>
      <c r="F38" s="12" t="s">
        <v>92</v>
      </c>
      <c r="G38" s="12" t="s">
        <v>120</v>
      </c>
      <c r="H38" s="12" t="s">
        <v>164</v>
      </c>
      <c r="I38" s="12" t="s">
        <v>183</v>
      </c>
      <c r="J38" s="12" t="s">
        <v>197</v>
      </c>
    </row>
    <row customHeight="1" ht="33" r="39">
      <c r="B39" s="12">
        <f>HYPERLINK("https://gesdoc.uis.edu.co/share/page/folder-details?nodeRef=workspace://SpacesStore/3f16ac4a-92a8-4669-b8d6-caf4063ff0ea","0234_2026002506_8212")</f>
      </c>
      <c r="C39" s="12" t="s">
        <v>50</v>
      </c>
      <c r="D39" s="13" t="s">
        <v>83</v>
      </c>
      <c r="E39" s="12" t="s">
        <v>90</v>
      </c>
      <c r="F39" s="12" t="s">
        <v>92</v>
      </c>
      <c r="G39" s="12" t="s">
        <v>121</v>
      </c>
      <c r="H39" s="12" t="s">
        <v>165</v>
      </c>
      <c r="I39" s="12" t="s">
        <v>183</v>
      </c>
      <c r="J39" s="12" t="s">
        <v>197</v>
      </c>
    </row>
    <row customHeight="1" ht="33" r="40">
      <c r="B40" s="12">
        <f>HYPERLINK("https://gesdoc.uis.edu.co/share/page/folder-details?nodeRef=workspace://SpacesStore/e5ab48c7-b8cd-4d4c-8869-36f59cd4e72c","0234_2026002512_8212")</f>
      </c>
      <c r="C40" s="12" t="s">
        <v>51</v>
      </c>
      <c r="D40" s="13" t="s">
        <v>83</v>
      </c>
      <c r="E40" s="12" t="s">
        <v>90</v>
      </c>
      <c r="F40" s="12" t="s">
        <v>92</v>
      </c>
      <c r="G40" s="12" t="s">
        <v>122</v>
      </c>
      <c r="H40" s="12" t="s">
        <v>122</v>
      </c>
      <c r="I40" s="12" t="s">
        <v>183</v>
      </c>
      <c r="J40" s="12" t="s">
        <v>197</v>
      </c>
    </row>
    <row customHeight="1" ht="33" r="41">
      <c r="B41" s="12">
        <f>HYPERLINK("https://gesdoc.uis.edu.co/share/page/folder-details?nodeRef=workspace://SpacesStore/bb33b8ef-36f2-4fbb-823d-075cd175600f","0049_2025000023_8943")</f>
      </c>
      <c r="C41" s="12" t="s">
        <v>52</v>
      </c>
      <c r="D41" s="13" t="s">
        <v>89</v>
      </c>
      <c r="E41" s="12" t="s">
        <v>90</v>
      </c>
      <c r="F41" s="12" t="s">
        <v>93</v>
      </c>
      <c r="G41" s="12" t="s">
        <v>123</v>
      </c>
      <c r="H41" s="12" t="s">
        <v>123</v>
      </c>
      <c r="I41" s="12" t="s">
        <v>185</v>
      </c>
      <c r="J41" s="12" t="s">
        <v>200</v>
      </c>
    </row>
    <row customHeight="1" ht="33" r="42">
      <c r="B42" s="12">
        <f>HYPERLINK("https://gesdoc.uis.edu.co/share/page/folder-details?nodeRef=workspace://SpacesStore/91547dc1-e957-4192-aea5-8a61f6a72651","0234_2026002503_8212")</f>
      </c>
      <c r="C42" s="12" t="s">
        <v>53</v>
      </c>
      <c r="D42" s="13" t="s">
        <v>83</v>
      </c>
      <c r="E42" s="12" t="s">
        <v>90</v>
      </c>
      <c r="F42" s="12" t="s">
        <v>92</v>
      </c>
      <c r="G42" s="12" t="s">
        <v>124</v>
      </c>
      <c r="H42" s="12" t="s">
        <v>124</v>
      </c>
      <c r="I42" s="12" t="s">
        <v>183</v>
      </c>
      <c r="J42" s="12" t="s">
        <v>197</v>
      </c>
    </row>
    <row customHeight="1" ht="33" r="43">
      <c r="B43" s="12">
        <f>HYPERLINK("https://gesdoc.uis.edu.co/share/page/folder-details?nodeRef=workspace://SpacesStore/bae8716f-8d03-46c9-868a-080a8b0aa46b","0234_2026002504_8212")</f>
      </c>
      <c r="C43" s="12" t="s">
        <v>54</v>
      </c>
      <c r="D43" s="13" t="s">
        <v>83</v>
      </c>
      <c r="E43" s="12" t="s">
        <v>90</v>
      </c>
      <c r="F43" s="12" t="s">
        <v>92</v>
      </c>
      <c r="G43" s="12" t="s">
        <v>125</v>
      </c>
      <c r="H43" s="12" t="s">
        <v>166</v>
      </c>
      <c r="I43" s="12" t="s">
        <v>183</v>
      </c>
      <c r="J43" s="12" t="s">
        <v>197</v>
      </c>
    </row>
    <row customHeight="1" ht="33" r="44">
      <c r="B44" s="12">
        <f>HYPERLINK("https://gesdoc.uis.edu.co/share/page/folder-details?nodeRef=workspace://SpacesStore/4b3d6246-a4a9-48ba-b276-a175b8c187e7","0018_2026002481_4624")</f>
      </c>
      <c r="C44" s="12" t="s">
        <v>55</v>
      </c>
      <c r="D44" s="13" t="s">
        <v>84</v>
      </c>
      <c r="E44" s="12" t="s">
        <v>90</v>
      </c>
      <c r="F44" s="12" t="s">
        <v>91</v>
      </c>
      <c r="G44" s="12" t="s">
        <v>126</v>
      </c>
      <c r="H44" s="12" t="s">
        <v>126</v>
      </c>
      <c r="I44" s="12">
        <v>4624</v>
      </c>
      <c r="J44" s="12" t="s">
        <v>190</v>
      </c>
    </row>
    <row customHeight="1" ht="33" r="45">
      <c r="B45" s="12">
        <f>HYPERLINK("https://gesdoc.uis.edu.co/share/page/folder-details?nodeRef=workspace://SpacesStore/924b2bb7-1dde-4c0e-a578-0013c6907230","0234_2026004587_8212")</f>
      </c>
      <c r="C45" s="12" t="s">
        <v>56</v>
      </c>
      <c r="D45" s="13" t="s">
        <v>83</v>
      </c>
      <c r="E45" s="12" t="s">
        <v>90</v>
      </c>
      <c r="F45" s="12" t="s">
        <v>92</v>
      </c>
      <c r="G45" s="12" t="s">
        <v>127</v>
      </c>
      <c r="H45" s="12" t="s">
        <v>167</v>
      </c>
      <c r="I45" s="12" t="s">
        <v>183</v>
      </c>
      <c r="J45" s="12" t="s">
        <v>197</v>
      </c>
    </row>
    <row customHeight="1" ht="33" r="46">
      <c r="B46" s="12">
        <f>HYPERLINK("https://gesdoc.uis.edu.co/share/page/folder-details?nodeRef=workspace://SpacesStore/ba262369-b89b-4706-ab83-3cd820775d15","0234_2026002500_8212")</f>
      </c>
      <c r="C46" s="12" t="s">
        <v>57</v>
      </c>
      <c r="D46" s="13" t="s">
        <v>83</v>
      </c>
      <c r="E46" s="12" t="s">
        <v>90</v>
      </c>
      <c r="F46" s="12" t="s">
        <v>92</v>
      </c>
      <c r="G46" s="12" t="s">
        <v>128</v>
      </c>
      <c r="H46" s="12" t="s">
        <v>168</v>
      </c>
      <c r="I46" s="12" t="s">
        <v>183</v>
      </c>
      <c r="J46" s="12" t="s">
        <v>197</v>
      </c>
    </row>
    <row customHeight="1" ht="33" r="47">
      <c r="B47" s="12">
        <f>HYPERLINK("https://gesdoc.uis.edu.co/share/page/folder-details?nodeRef=workspace://SpacesStore/d8e46a3e-4f3a-4575-a9b1-914c73d7509a","0234_2025014354_8054")</f>
      </c>
      <c r="C47" s="12" t="s">
        <v>58</v>
      </c>
      <c r="D47" s="13" t="s">
        <v>83</v>
      </c>
      <c r="E47" s="12" t="s">
        <v>90</v>
      </c>
      <c r="F47" s="12" t="s">
        <v>92</v>
      </c>
      <c r="G47" s="12" t="s">
        <v>129</v>
      </c>
      <c r="H47" s="12" t="s">
        <v>130</v>
      </c>
      <c r="I47" s="12" t="s">
        <v>186</v>
      </c>
      <c r="J47" s="12" t="s">
        <v>201</v>
      </c>
    </row>
    <row customHeight="1" ht="33" r="48">
      <c r="B48" s="12">
        <f>HYPERLINK("https://gesdoc.uis.edu.co/share/page/folder-details?nodeRef=workspace://SpacesStore/c2babb6a-261c-4a64-9496-653750d8544d","0234_2025016378_8054")</f>
      </c>
      <c r="C48" s="12" t="s">
        <v>59</v>
      </c>
      <c r="D48" s="13" t="s">
        <v>83</v>
      </c>
      <c r="E48" s="12" t="s">
        <v>90</v>
      </c>
      <c r="F48" s="12" t="s">
        <v>92</v>
      </c>
      <c r="G48" s="12" t="s">
        <v>130</v>
      </c>
      <c r="H48" s="12" t="s">
        <v>169</v>
      </c>
      <c r="I48" s="12" t="s">
        <v>186</v>
      </c>
      <c r="J48" s="12" t="s">
        <v>201</v>
      </c>
    </row>
    <row customHeight="1" ht="33" r="49">
      <c r="B49" s="12">
        <f>HYPERLINK("https://gesdoc.uis.edu.co/share/page/folder-details?nodeRef=workspace://SpacesStore/4573a432-aace-4138-a5eb-d784d0bd9e2d","0234_2026000666_8212")</f>
      </c>
      <c r="C49" s="12" t="s">
        <v>60</v>
      </c>
      <c r="D49" s="13" t="s">
        <v>83</v>
      </c>
      <c r="E49" s="12" t="s">
        <v>90</v>
      </c>
      <c r="F49" s="12" t="s">
        <v>92</v>
      </c>
      <c r="G49" s="12" t="s">
        <v>131</v>
      </c>
      <c r="H49" s="12" t="s">
        <v>131</v>
      </c>
      <c r="I49" s="12" t="s">
        <v>183</v>
      </c>
      <c r="J49" s="12" t="s">
        <v>197</v>
      </c>
    </row>
    <row customHeight="1" ht="33" r="50">
      <c r="B50" s="12">
        <f>HYPERLINK("https://gesdoc.uis.edu.co/share/page/folder-details?nodeRef=workspace://SpacesStore/307ebd72-2944-4c02-9544-1e7cc705e120","0234_2026000620_8212")</f>
      </c>
      <c r="C50" s="12" t="s">
        <v>61</v>
      </c>
      <c r="D50" s="13" t="s">
        <v>83</v>
      </c>
      <c r="E50" s="12" t="s">
        <v>90</v>
      </c>
      <c r="F50" s="12" t="s">
        <v>92</v>
      </c>
      <c r="G50" s="12" t="s">
        <v>132</v>
      </c>
      <c r="H50" s="12" t="s">
        <v>132</v>
      </c>
      <c r="I50" s="12" t="s">
        <v>183</v>
      </c>
      <c r="J50" s="12" t="s">
        <v>197</v>
      </c>
    </row>
    <row customHeight="1" ht="33" r="51">
      <c r="B51" s="12">
        <f>HYPERLINK("https://gesdoc.uis.edu.co/share/page/folder-details?nodeRef=workspace://SpacesStore/fa02e657-31db-4875-8ecf-3c4518dd0fe3","0234_2026000622_8212")</f>
      </c>
      <c r="C51" s="12" t="s">
        <v>62</v>
      </c>
      <c r="D51" s="13" t="s">
        <v>83</v>
      </c>
      <c r="E51" s="12" t="s">
        <v>90</v>
      </c>
      <c r="F51" s="12" t="s">
        <v>92</v>
      </c>
      <c r="G51" s="12" t="s">
        <v>133</v>
      </c>
      <c r="H51" s="12" t="s">
        <v>133</v>
      </c>
      <c r="I51" s="12" t="s">
        <v>183</v>
      </c>
      <c r="J51" s="12" t="s">
        <v>197</v>
      </c>
    </row>
    <row customHeight="1" ht="33" r="52">
      <c r="B52" s="12">
        <f>HYPERLINK("https://gesdoc.uis.edu.co/share/page/folder-details?nodeRef=workspace://SpacesStore/8ed3aada-3aac-4482-b416-87dd3cba18c3","0234_2026000636_8212")</f>
      </c>
      <c r="C52" s="12" t="s">
        <v>63</v>
      </c>
      <c r="D52" s="13" t="s">
        <v>83</v>
      </c>
      <c r="E52" s="12" t="s">
        <v>90</v>
      </c>
      <c r="F52" s="12" t="s">
        <v>92</v>
      </c>
      <c r="G52" s="12" t="s">
        <v>134</v>
      </c>
      <c r="H52" s="12" t="s">
        <v>170</v>
      </c>
      <c r="I52" s="12" t="s">
        <v>183</v>
      </c>
      <c r="J52" s="12" t="s">
        <v>197</v>
      </c>
    </row>
    <row customHeight="1" ht="33" r="53">
      <c r="B53" s="12">
        <f>HYPERLINK("https://gesdoc.uis.edu.co/share/page/folder-details?nodeRef=workspace://SpacesStore/fcb6fa39-54ab-48bb-91bf-5498ae423b16","0234_2026000608_8212")</f>
      </c>
      <c r="C53" s="12" t="s">
        <v>64</v>
      </c>
      <c r="D53" s="13" t="s">
        <v>83</v>
      </c>
      <c r="E53" s="12" t="s">
        <v>90</v>
      </c>
      <c r="F53" s="12" t="s">
        <v>92</v>
      </c>
      <c r="G53" s="12" t="s">
        <v>135</v>
      </c>
      <c r="H53" s="12" t="s">
        <v>136</v>
      </c>
      <c r="I53" s="12" t="s">
        <v>183</v>
      </c>
      <c r="J53" s="12" t="s">
        <v>197</v>
      </c>
    </row>
    <row customHeight="1" ht="33" r="54">
      <c r="B54" s="12">
        <f>HYPERLINK("https://gesdoc.uis.edu.co/share/page/folder-details?nodeRef=workspace://SpacesStore/4d691ac9-bd50-4199-ba3c-15e9b8ce4e0c","0234_2026000039_8212")</f>
      </c>
      <c r="C54" s="12" t="s">
        <v>65</v>
      </c>
      <c r="D54" s="13" t="s">
        <v>83</v>
      </c>
      <c r="E54" s="12" t="s">
        <v>90</v>
      </c>
      <c r="F54" s="12" t="s">
        <v>92</v>
      </c>
      <c r="G54" s="12" t="s">
        <v>135</v>
      </c>
      <c r="H54" s="12" t="s">
        <v>135</v>
      </c>
      <c r="I54" s="12" t="s">
        <v>183</v>
      </c>
      <c r="J54" s="12" t="s">
        <v>197</v>
      </c>
    </row>
    <row customHeight="1" ht="33" r="55">
      <c r="B55" s="12">
        <f>HYPERLINK("https://gesdoc.uis.edu.co/share/page/folder-details?nodeRef=workspace://SpacesStore/72688340-b529-4ae4-b031-48cc7e66147a","0234_2026000613_8212")</f>
      </c>
      <c r="C55" s="12" t="s">
        <v>66</v>
      </c>
      <c r="D55" s="13" t="s">
        <v>83</v>
      </c>
      <c r="E55" s="12" t="s">
        <v>90</v>
      </c>
      <c r="F55" s="12" t="s">
        <v>92</v>
      </c>
      <c r="G55" s="12" t="s">
        <v>136</v>
      </c>
      <c r="H55" s="12" t="s">
        <v>136</v>
      </c>
      <c r="I55" s="12" t="s">
        <v>183</v>
      </c>
      <c r="J55" s="12" t="s">
        <v>197</v>
      </c>
    </row>
    <row customHeight="1" ht="33" r="56">
      <c r="B56" s="12">
        <f>HYPERLINK("https://gesdoc.uis.edu.co/share/page/folder-details?nodeRef=workspace://SpacesStore/530adcc1-49e7-4a5f-9cfb-967e011e51ab","0234_2026000614_8212")</f>
      </c>
      <c r="C56" s="12" t="s">
        <v>67</v>
      </c>
      <c r="D56" s="13" t="s">
        <v>83</v>
      </c>
      <c r="E56" s="12" t="s">
        <v>90</v>
      </c>
      <c r="F56" s="12" t="s">
        <v>92</v>
      </c>
      <c r="G56" s="12" t="s">
        <v>137</v>
      </c>
      <c r="H56" s="12" t="s">
        <v>137</v>
      </c>
      <c r="I56" s="12" t="s">
        <v>183</v>
      </c>
      <c r="J56" s="12" t="s">
        <v>197</v>
      </c>
    </row>
    <row customHeight="1" ht="33" r="57">
      <c r="B57" s="12">
        <f>HYPERLINK("https://gesdoc.uis.edu.co/share/page/folder-details?nodeRef=workspace://SpacesStore/6be23c4c-656c-4c12-87d8-ed8684cadba1","0234_2026000615_8212")</f>
      </c>
      <c r="C57" s="12" t="s">
        <v>68</v>
      </c>
      <c r="D57" s="13" t="s">
        <v>83</v>
      </c>
      <c r="E57" s="12" t="s">
        <v>90</v>
      </c>
      <c r="F57" s="12" t="s">
        <v>92</v>
      </c>
      <c r="G57" s="12" t="s">
        <v>138</v>
      </c>
      <c r="H57" s="12" t="s">
        <v>138</v>
      </c>
      <c r="I57" s="12" t="s">
        <v>183</v>
      </c>
      <c r="J57" s="12" t="s">
        <v>197</v>
      </c>
    </row>
    <row customHeight="1" ht="33" r="58">
      <c r="B58" s="12">
        <f>HYPERLINK("https://gesdoc.uis.edu.co/share/page/folder-details?nodeRef=workspace://SpacesStore/ad6f7322-d1e8-4f04-b550-70014d6a739c","0234_2026000617_8212")</f>
      </c>
      <c r="C58" s="12" t="s">
        <v>69</v>
      </c>
      <c r="D58" s="13" t="s">
        <v>83</v>
      </c>
      <c r="E58" s="12" t="s">
        <v>90</v>
      </c>
      <c r="F58" s="12" t="s">
        <v>92</v>
      </c>
      <c r="G58" s="12" t="s">
        <v>139</v>
      </c>
      <c r="H58" s="12" t="s">
        <v>139</v>
      </c>
      <c r="I58" s="12" t="s">
        <v>183</v>
      </c>
      <c r="J58" s="12" t="s">
        <v>197</v>
      </c>
    </row>
    <row customHeight="1" ht="33" r="59">
      <c r="B59" s="12">
        <f>HYPERLINK("https://gesdoc.uis.edu.co/share/page/folder-details?nodeRef=workspace://SpacesStore/e583e9be-628d-444f-914c-8e5891db1743","0234_2026002111_8212")</f>
      </c>
      <c r="C59" s="12" t="s">
        <v>70</v>
      </c>
      <c r="D59" s="13" t="s">
        <v>83</v>
      </c>
      <c r="E59" s="12" t="s">
        <v>90</v>
      </c>
      <c r="F59" s="12" t="s">
        <v>92</v>
      </c>
      <c r="G59" s="12" t="s">
        <v>140</v>
      </c>
      <c r="H59" s="12" t="s">
        <v>171</v>
      </c>
      <c r="I59" s="12" t="s">
        <v>183</v>
      </c>
      <c r="J59" s="12" t="s">
        <v>197</v>
      </c>
    </row>
    <row customHeight="1" ht="33" r="60">
      <c r="B60" s="12">
        <f>HYPERLINK("https://gesdoc.uis.edu.co/share/page/folder-details?nodeRef=workspace://SpacesStore/2dd22d65-67e4-4a46-9024-f4496d9c2bc0","0234_2026000671_8212")</f>
      </c>
      <c r="C60" s="12" t="s">
        <v>71</v>
      </c>
      <c r="D60" s="13" t="s">
        <v>83</v>
      </c>
      <c r="E60" s="12" t="s">
        <v>90</v>
      </c>
      <c r="F60" s="12" t="s">
        <v>92</v>
      </c>
      <c r="G60" s="12" t="s">
        <v>141</v>
      </c>
      <c r="H60" s="12" t="s">
        <v>141</v>
      </c>
      <c r="I60" s="12" t="s">
        <v>183</v>
      </c>
      <c r="J60" s="12" t="s">
        <v>197</v>
      </c>
    </row>
    <row customHeight="1" ht="33" r="61">
      <c r="B61" s="12">
        <f>HYPERLINK("https://gesdoc.uis.edu.co/share/page/folder-details?nodeRef=workspace://SpacesStore/1e500f10-f7bf-4fb2-99c6-ecfe44f0d3c3","0234_2026000791_8212")</f>
      </c>
      <c r="C61" s="12" t="s">
        <v>72</v>
      </c>
      <c r="D61" s="13" t="s">
        <v>83</v>
      </c>
      <c r="E61" s="12" t="s">
        <v>90</v>
      </c>
      <c r="F61" s="12" t="s">
        <v>92</v>
      </c>
      <c r="G61" s="12" t="s">
        <v>142</v>
      </c>
      <c r="H61" s="12" t="s">
        <v>172</v>
      </c>
      <c r="I61" s="12" t="s">
        <v>183</v>
      </c>
      <c r="J61" s="12" t="s">
        <v>197</v>
      </c>
    </row>
    <row customHeight="1" ht="33" r="62">
      <c r="B62" s="12">
        <f>HYPERLINK("https://gesdoc.uis.edu.co/share/page/folder-details?nodeRef=workspace://SpacesStore/817e0aab-0640-4c44-b2f6-a061a12d3df2","0234_2026002249_8212")</f>
      </c>
      <c r="C62" s="12" t="s">
        <v>73</v>
      </c>
      <c r="D62" s="13" t="s">
        <v>83</v>
      </c>
      <c r="E62" s="12" t="s">
        <v>90</v>
      </c>
      <c r="F62" s="12" t="s">
        <v>92</v>
      </c>
      <c r="G62" s="12" t="s">
        <v>143</v>
      </c>
      <c r="H62" s="12" t="s">
        <v>143</v>
      </c>
      <c r="I62" s="12" t="s">
        <v>183</v>
      </c>
      <c r="J62" s="12" t="s">
        <v>197</v>
      </c>
    </row>
    <row customHeight="1" ht="33" r="63">
      <c r="B63" s="12">
        <f>HYPERLINK("https://gesdoc.uis.edu.co/share/page/folder-details?nodeRef=workspace://SpacesStore/16677144-a5b3-457d-8378-074be45e4f24","0234_2026002499_8212")</f>
      </c>
      <c r="C63" s="12" t="s">
        <v>74</v>
      </c>
      <c r="D63" s="13" t="s">
        <v>83</v>
      </c>
      <c r="E63" s="12" t="s">
        <v>90</v>
      </c>
      <c r="F63" s="12" t="s">
        <v>92</v>
      </c>
      <c r="G63" s="12" t="s">
        <v>144</v>
      </c>
      <c r="H63" s="12" t="s">
        <v>173</v>
      </c>
      <c r="I63" s="12" t="s">
        <v>183</v>
      </c>
      <c r="J63" s="12" t="s">
        <v>197</v>
      </c>
    </row>
    <row customHeight="1" ht="33" r="64">
      <c r="B64" s="12">
        <f>HYPERLINK("https://gesdoc.uis.edu.co/share/page/folder-details?nodeRef=workspace://SpacesStore/864170e3-32a4-4644-ae3c-35547ca2e2ba","0020_2026000349_8288")</f>
      </c>
      <c r="C64" s="12" t="s">
        <v>75</v>
      </c>
      <c r="D64" s="13" t="s">
        <v>83</v>
      </c>
      <c r="E64" s="12" t="s">
        <v>90</v>
      </c>
      <c r="F64" s="12" t="s">
        <v>92</v>
      </c>
      <c r="G64" s="12" t="s">
        <v>145</v>
      </c>
      <c r="H64" s="12" t="s">
        <v>174</v>
      </c>
      <c r="I64" s="12" t="s">
        <v>184</v>
      </c>
      <c r="J64" s="12" t="s">
        <v>198</v>
      </c>
    </row>
    <row customHeight="1" ht="33" r="65">
      <c r="B65" s="12">
        <f>HYPERLINK("https://gesdoc.uis.edu.co/share/page/folder-details?nodeRef=workspace://SpacesStore/5305adb2-83c9-45fd-9d88-2fc80324a3c0","0234_2026004843_8212")</f>
      </c>
      <c r="C65" s="12" t="s">
        <v>76</v>
      </c>
      <c r="D65" s="13" t="s">
        <v>83</v>
      </c>
      <c r="E65" s="12" t="s">
        <v>90</v>
      </c>
      <c r="F65" s="12" t="s">
        <v>92</v>
      </c>
      <c r="G65" s="12" t="s">
        <v>146</v>
      </c>
      <c r="H65" s="12" t="s">
        <v>175</v>
      </c>
      <c r="I65" s="12" t="s">
        <v>183</v>
      </c>
      <c r="J65" s="12" t="s">
        <v>197</v>
      </c>
    </row>
    <row customHeight="1" ht="33" r="66">
      <c r="B66" s="12">
        <f>HYPERLINK("https://gesdoc.uis.edu.co/share/page/folder-details?nodeRef=workspace://SpacesStore/b5499c27-a3cc-4830-a97d-7f7e9096899b","0234_2026004640_8212")</f>
      </c>
      <c r="C66" s="12" t="s">
        <v>77</v>
      </c>
      <c r="D66" s="13" t="s">
        <v>83</v>
      </c>
      <c r="E66" s="12" t="s">
        <v>90</v>
      </c>
      <c r="F66" s="12" t="s">
        <v>92</v>
      </c>
      <c r="G66" s="12" t="s">
        <v>147</v>
      </c>
      <c r="H66" s="12" t="s">
        <v>176</v>
      </c>
      <c r="I66" s="12" t="s">
        <v>183</v>
      </c>
      <c r="J66" s="12" t="s">
        <v>197</v>
      </c>
    </row>
    <row customHeight="1" ht="33" r="67">
      <c r="B67" s="12">
        <f>HYPERLINK("https://gesdoc.uis.edu.co/share/page/folder-details?nodeRef=workspace://SpacesStore/8889ab18-da7f-4f44-84d1-405416b33bae","0234_2026004841_8212")</f>
      </c>
      <c r="C67" s="12" t="s">
        <v>78</v>
      </c>
      <c r="D67" s="13" t="s">
        <v>83</v>
      </c>
      <c r="E67" s="12" t="s">
        <v>90</v>
      </c>
      <c r="F67" s="12" t="s">
        <v>92</v>
      </c>
      <c r="G67" s="12" t="s">
        <v>148</v>
      </c>
      <c r="H67" s="12" t="s">
        <v>148</v>
      </c>
      <c r="I67" s="12" t="s">
        <v>183</v>
      </c>
      <c r="J67" s="12" t="s">
        <v>197</v>
      </c>
    </row>
    <row customHeight="1" ht="33" r="68">
      <c r="B68" s="12">
        <f>HYPERLINK("https://gesdoc.uis.edu.co/share/page/folder-details?nodeRef=workspace://SpacesStore/3c54d43b-7278-4ce3-b19f-ecbbcc874d3b","0270_2026000747_8094")</f>
      </c>
      <c r="C68" s="12" t="s">
        <v>79</v>
      </c>
      <c r="D68" s="13" t="s">
        <v>83</v>
      </c>
      <c r="E68" s="12" t="s">
        <v>90</v>
      </c>
      <c r="F68" s="12" t="s">
        <v>92</v>
      </c>
      <c r="G68" s="12" t="s">
        <v>149</v>
      </c>
      <c r="H68" s="12" t="s">
        <v>177</v>
      </c>
      <c r="I68" s="12" t="s">
        <v>187</v>
      </c>
      <c r="J68" s="12" t="s">
        <v>202</v>
      </c>
    </row>
    <row customHeight="1" ht="33" r="69">
      <c r="B69" s="12">
        <f>HYPERLINK("https://gesdoc.uis.edu.co/share/page/folder-details?nodeRef=workspace://SpacesStore/437e4702-9444-445e-b8b8-505c46b717e2","0020_2026000360_8944")</f>
      </c>
      <c r="C69" s="12" t="s">
        <v>80</v>
      </c>
      <c r="D69" s="13" t="s">
        <v>85</v>
      </c>
      <c r="E69" s="12" t="s">
        <v>90</v>
      </c>
      <c r="F69" s="12" t="s">
        <v>93</v>
      </c>
      <c r="G69" s="12" t="s">
        <v>150</v>
      </c>
      <c r="H69" s="12" t="s">
        <v>178</v>
      </c>
      <c r="I69" s="12" t="s">
        <v>181</v>
      </c>
      <c r="J69" s="12" t="s">
        <v>191</v>
      </c>
    </row>
    <row customHeight="1" ht="33" r="70">
      <c r="B70" s="12">
        <f>HYPERLINK("https://gesdoc.uis.edu.co/share/page/folder-details?nodeRef=workspace://SpacesStore/04c22d31-aaf6-4f3e-979a-eaa434360f3e","0018_2026002501_4695")</f>
      </c>
      <c r="C70" s="12" t="s">
        <v>81</v>
      </c>
      <c r="D70" s="13" t="s">
        <v>88</v>
      </c>
      <c r="E70" s="12" t="s">
        <v>90</v>
      </c>
      <c r="F70" s="12" t="s">
        <v>94</v>
      </c>
      <c r="G70" s="12" t="s">
        <v>151</v>
      </c>
      <c r="H70" s="12" t="s">
        <v>179</v>
      </c>
      <c r="I70" s="12">
        <v>4695</v>
      </c>
      <c r="J70" s="12" t="s">
        <v>203</v>
      </c>
    </row>
    <row customHeight="1" ht="12.4" r="71">
      <c r="B71" s="10"/>
      <c r="C71" s="10"/>
      <c r="D71" s="10"/>
      <c r="E71" s="10"/>
      <c r="F71" s="10"/>
      <c r="G71" s="10"/>
      <c r="H71" s="10"/>
      <c r="I71" s="10"/>
      <c r="J71" s="10"/>
    </row>
    <row customHeight="1" ht="13.15" r="72">
      <c r="B72" s="10"/>
      <c r="C72" s="10"/>
      <c r="E72" s="10"/>
      <c r="F72" s="10"/>
      <c r="G72" s="10"/>
      <c r="H72" s="10"/>
      <c r="I72" s="10"/>
      <c r="J72" s="10"/>
    </row>
    <row customHeight="1" ht="13.5" r="73">
      <c r="B73" s="10"/>
      <c r="J73" s="10"/>
    </row>
    <row ht="12.75" r="74">
      <c r="B74" s="10"/>
      <c r="J74" s="10"/>
    </row>
    <row ht="12.75" r="75"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B82" s="10"/>
      <c r="C82" s="10"/>
      <c r="D82" s="10"/>
      <c r="E82" s="10"/>
      <c r="F82" s="10"/>
      <c r="G82" s="10"/>
      <c r="H82" s="10"/>
      <c r="I82" s="10"/>
      <c r="J82" s="10"/>
    </row>
    <row customHeight="1" ht="12.4" r="83"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B92" s="10"/>
      <c r="C92" s="10"/>
      <c r="D92" s="10"/>
      <c r="E92" s="10"/>
      <c r="F92" s="10"/>
      <c r="G92" s="10"/>
      <c r="H92" s="10"/>
      <c r="I92" s="10"/>
      <c r="J92" s="10"/>
    </row>
    <row customHeight="1" ht="12.4" r="93">
      <c r="B93" s="10"/>
      <c r="C93" s="10"/>
      <c r="D93" s="10"/>
      <c r="E93" s="10"/>
      <c r="F93" s="10"/>
      <c r="G93" s="10"/>
      <c r="H93" s="10"/>
      <c r="I93" s="10"/>
      <c r="J93" s="10"/>
    </row>
    <row customHeight="1" ht="12.4" r="94"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B95" s="10"/>
      <c r="C95" s="10"/>
      <c r="D95" s="10"/>
      <c r="E95" s="10"/>
      <c r="F95" s="10"/>
      <c r="G95" s="10"/>
      <c r="H95" s="10"/>
      <c r="I95" s="10"/>
      <c r="J95" s="10"/>
    </row>
    <row customHeight="1" ht="12.4" r="96">
      <c r="B96" s="10"/>
      <c r="C96" s="10"/>
      <c r="D96" s="10"/>
      <c r="E96" s="10"/>
      <c r="F96" s="10"/>
      <c r="G96" s="10"/>
      <c r="H96" s="10"/>
      <c r="I96" s="10"/>
      <c r="J96" s="10"/>
    </row>
    <row customHeight="1" ht="12.4" r="97">
      <c r="B97" s="10"/>
      <c r="C97" s="10"/>
      <c r="D97" s="10"/>
      <c r="E97" s="10"/>
      <c r="F97" s="10"/>
      <c r="G97" s="10"/>
      <c r="H97" s="10"/>
      <c r="I97" s="10"/>
      <c r="J97" s="10"/>
    </row>
    <row customHeight="1" ht="13.1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customHeight="1" ht="12.4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