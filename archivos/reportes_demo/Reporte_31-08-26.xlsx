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<sst xmlns="http://schemas.openxmlformats.org/spreadsheetml/2006/main" count="1269" uniqueCount="1269">
  <si>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</si>
  <si>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</si>
  <si>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</si>
  <si>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</si>
  <si>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</si>
  <si>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</si>
  <si>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</si>
  <si>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</si>
  <si>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</si>
  <si>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</si>
  <si>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</si>
  <si>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</si>
  <si>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</si>
  <si>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</si>
  <si>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</si>
  <si>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</si>
  <si>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</si>
  <si>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</si>
  <si>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</si>
  <si>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</si>
  <si>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</si>
  <si>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</si>
  <si>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01/08/2026 al ${table:fechaHasta}</t>
  </si>
  <si>
    <t>Fecha del reporte: 01/08/2026 al 31/08/2026</t>
  </si>
  <si>
    <t>21-2026000283</t>
  </si>
  <si>
    <t/>
  </si>
  <si>
    <t>374-2026000027</t>
  </si>
  <si>
    <t>19-2026000096</t>
  </si>
  <si>
    <t>298-2025000211</t>
  </si>
  <si>
    <t>19-2026000089</t>
  </si>
  <si>
    <t>18-2026002296</t>
  </si>
  <si>
    <t>18-2026002336</t>
  </si>
  <si>
    <t>20-2026000263</t>
  </si>
  <si>
    <t>234-2026011031</t>
  </si>
  <si>
    <t>18-2026002243</t>
  </si>
  <si>
    <t>20-2026000267</t>
  </si>
  <si>
    <t>20-2026000268</t>
  </si>
  <si>
    <t>298-2025000143</t>
  </si>
  <si>
    <t>18-2026002371</t>
  </si>
  <si>
    <t>18-2026002369</t>
  </si>
  <si>
    <t>18-2026002350</t>
  </si>
  <si>
    <t>18-2026002332</t>
  </si>
  <si>
    <t>298-2026000256</t>
  </si>
  <si>
    <t>298-2026000260</t>
  </si>
  <si>
    <t>298-2025000284</t>
  </si>
  <si>
    <t>18-2026002347</t>
  </si>
  <si>
    <t>18-2026002366</t>
  </si>
  <si>
    <t>18-2026002360</t>
  </si>
  <si>
    <t>18-2026002374</t>
  </si>
  <si>
    <t>18-2026002404</t>
  </si>
  <si>
    <t>18-2026002394</t>
  </si>
  <si>
    <t>20-2026000214</t>
  </si>
  <si>
    <t>18-2026002238</t>
  </si>
  <si>
    <t>18-2026002143</t>
  </si>
  <si>
    <t>18-2026002264</t>
  </si>
  <si>
    <t>298-2025000289</t>
  </si>
  <si>
    <t>298-2025000369</t>
  </si>
  <si>
    <t>298-2025000389</t>
  </si>
  <si>
    <t>298-2025000400</t>
  </si>
  <si>
    <t>20-2026000215</t>
  </si>
  <si>
    <t>18-2026002282</t>
  </si>
  <si>
    <t>20-2026000252</t>
  </si>
  <si>
    <t>18-2026002283</t>
  </si>
  <si>
    <t>19-2026000088</t>
  </si>
  <si>
    <t>18-2026002087</t>
  </si>
  <si>
    <t>234-2026010994</t>
  </si>
  <si>
    <t>298-2025000106</t>
  </si>
  <si>
    <t>18-2026002321</t>
  </si>
  <si>
    <t>18-2026002237</t>
  </si>
  <si>
    <t>234-2026011225</t>
  </si>
  <si>
    <t>18-2026002420</t>
  </si>
  <si>
    <t>234-2026011220</t>
  </si>
  <si>
    <t>234-2026011221</t>
  </si>
  <si>
    <t>18-2026002351</t>
  </si>
  <si>
    <t>18-2026002439</t>
  </si>
  <si>
    <t>18-2026002425</t>
  </si>
  <si>
    <t>20-202600275</t>
  </si>
  <si>
    <t>20-2026000303</t>
  </si>
  <si>
    <t>18-2026002431</t>
  </si>
  <si>
    <t>450-2026000084</t>
  </si>
  <si>
    <t>18-2026002270</t>
  </si>
  <si>
    <t>298-2026000263</t>
  </si>
  <si>
    <t>18-2026002260</t>
  </si>
  <si>
    <t>18-2026002368</t>
  </si>
  <si>
    <t>18-2026002262</t>
  </si>
  <si>
    <t>270-2026000727</t>
  </si>
  <si>
    <t>298-2026000248</t>
  </si>
  <si>
    <t>298-2026000249</t>
  </si>
  <si>
    <t>298-2026000251</t>
  </si>
  <si>
    <t>298-2026000252</t>
  </si>
  <si>
    <t>18-2026000352</t>
  </si>
  <si>
    <t>18-2026000382</t>
  </si>
  <si>
    <t>18-2026000852</t>
  </si>
  <si>
    <t>18-2026002345</t>
  </si>
  <si>
    <t>18-2026002291</t>
  </si>
  <si>
    <t>19-2026000110</t>
  </si>
  <si>
    <t>18-2026002381</t>
  </si>
  <si>
    <t>234-2026011362</t>
  </si>
  <si>
    <t>298-2026000262</t>
  </si>
  <si>
    <t>298-2026000266</t>
  </si>
  <si>
    <t>18-2026002308</t>
  </si>
  <si>
    <t>298-2025000382</t>
  </si>
  <si>
    <t>20-2026000311</t>
  </si>
  <si>
    <t>298-2025000379</t>
  </si>
  <si>
    <t>18-2026002438</t>
  </si>
  <si>
    <t>18-2026002446</t>
  </si>
  <si>
    <t>234-2026011456</t>
  </si>
  <si>
    <t>234-2026011472</t>
  </si>
  <si>
    <t>18-2026002386</t>
  </si>
  <si>
    <t>19-2026000103</t>
  </si>
  <si>
    <t>298-2025000380</t>
  </si>
  <si>
    <t>298-2026000247</t>
  </si>
  <si>
    <t>19-2026000102</t>
  </si>
  <si>
    <t>20-2026000298</t>
  </si>
  <si>
    <t>18-2026002395</t>
  </si>
  <si>
    <t>18-2026002319</t>
  </si>
  <si>
    <t>18-2026002391</t>
  </si>
  <si>
    <t>18-2026002460</t>
  </si>
  <si>
    <t>18-2026002428</t>
  </si>
  <si>
    <t>18-2026002466</t>
  </si>
  <si>
    <t>18-2026002387</t>
  </si>
  <si>
    <t>19-2026000090</t>
  </si>
  <si>
    <t>20-2026000293</t>
  </si>
  <si>
    <t>234-2026011448</t>
  </si>
  <si>
    <t>18-2026002416</t>
  </si>
  <si>
    <t>298-2025000333</t>
  </si>
  <si>
    <t>18-2026002300</t>
  </si>
  <si>
    <t>270-2026000715</t>
  </si>
  <si>
    <t>298-2025000263</t>
  </si>
  <si>
    <t>18-2026002267</t>
  </si>
  <si>
    <t>18-2026002285</t>
  </si>
  <si>
    <t>298-2025000236</t>
  </si>
  <si>
    <t>298-2025000296</t>
  </si>
  <si>
    <t>298-2025000285</t>
  </si>
  <si>
    <t>20-2026000265</t>
  </si>
  <si>
    <t>20-2026000244</t>
  </si>
  <si>
    <t>18-2026002307</t>
  </si>
  <si>
    <t>18-2026002306</t>
  </si>
  <si>
    <t>298-2025000391</t>
  </si>
  <si>
    <t>298-2025000390</t>
  </si>
  <si>
    <t>298-2025000004</t>
  </si>
  <si>
    <t>234-2026010045</t>
  </si>
  <si>
    <t>18-2026002209</t>
  </si>
  <si>
    <t>18-2026002263</t>
  </si>
  <si>
    <t>298-2025000353</t>
  </si>
  <si>
    <t>298-2025000355</t>
  </si>
  <si>
    <t>298-2025000364</t>
  </si>
  <si>
    <t>298-2025000344</t>
  </si>
  <si>
    <t>298-2025000313</t>
  </si>
  <si>
    <t>298-2025000351</t>
  </si>
  <si>
    <t>298-2025000309</t>
  </si>
  <si>
    <t>298-2025000374</t>
  </si>
  <si>
    <t>18-2026002090</t>
  </si>
  <si>
    <t>298-2025000398</t>
  </si>
  <si>
    <t>298-2025000397</t>
  </si>
  <si>
    <t>298-2025000200</t>
  </si>
  <si>
    <t>298-2025000098</t>
  </si>
  <si>
    <t>18-2026002325</t>
  </si>
  <si>
    <t>234-2026010836</t>
  </si>
  <si>
    <t>18-2026002292</t>
  </si>
  <si>
    <t>18-2026001435</t>
  </si>
  <si>
    <t>18-2026002223</t>
  </si>
  <si>
    <t>18-2026002294</t>
  </si>
  <si>
    <t>18-2026002265</t>
  </si>
  <si>
    <t>18-2026002224</t>
  </si>
  <si>
    <t>18-2026002138</t>
  </si>
  <si>
    <t>18-2026002299</t>
  </si>
  <si>
    <t>18-2026002320</t>
  </si>
  <si>
    <t>298-2026000250</t>
  </si>
  <si>
    <t>20-2026000270</t>
  </si>
  <si>
    <t>19-2026000099</t>
  </si>
  <si>
    <t>19-2026000092</t>
  </si>
  <si>
    <t>18-2026002328</t>
  </si>
  <si>
    <t>18-2026002323</t>
  </si>
  <si>
    <t>18-2026002322</t>
  </si>
  <si>
    <t>18-2026002271</t>
  </si>
  <si>
    <t>18-2026002269</t>
  </si>
  <si>
    <t>18-2026002338</t>
  </si>
  <si>
    <t>374-2026000026</t>
  </si>
  <si>
    <t>49-2026000021</t>
  </si>
  <si>
    <t>18-2026002365</t>
  </si>
  <si>
    <t>18-2026002415</t>
  </si>
  <si>
    <t>20-2026000011</t>
  </si>
  <si>
    <t>20-2026000028</t>
  </si>
  <si>
    <t>18-2026001591</t>
  </si>
  <si>
    <t>19-2026000034</t>
  </si>
  <si>
    <t>450-2026000012</t>
  </si>
  <si>
    <t>18-2026002401</t>
  </si>
  <si>
    <t>450-2026000085</t>
  </si>
  <si>
    <t>18-2026002400</t>
  </si>
  <si>
    <t>450-2026000086</t>
  </si>
  <si>
    <t>20-2026000296</t>
  </si>
  <si>
    <t>19-2026000101</t>
  </si>
  <si>
    <t>18-2026002219</t>
  </si>
  <si>
    <t>20-2026000277</t>
  </si>
  <si>
    <t>18-2026002333</t>
  </si>
  <si>
    <t>20-2026000274</t>
  </si>
  <si>
    <t>18-2026002302</t>
  </si>
  <si>
    <t>20-2026000282</t>
  </si>
  <si>
    <t>234-2026011021</t>
  </si>
  <si>
    <t>18-2026002388</t>
  </si>
  <si>
    <t>298-2025000250</t>
  </si>
  <si>
    <t>18-2026002361</t>
  </si>
  <si>
    <t>18-2026002373</t>
  </si>
  <si>
    <t>18-2026002342</t>
  </si>
  <si>
    <t>18-2026002393</t>
  </si>
  <si>
    <t>18-2026002377</t>
  </si>
  <si>
    <t>19-2026000105</t>
  </si>
  <si>
    <t>234-2026010988</t>
  </si>
  <si>
    <t>234-2026010978</t>
  </si>
  <si>
    <t>18-2026002346</t>
  </si>
  <si>
    <t>19-2026000100</t>
  </si>
  <si>
    <t>18-2026002239</t>
  </si>
  <si>
    <t>20-2026000280</t>
  </si>
  <si>
    <t>18-2026002402</t>
  </si>
  <si>
    <t>19-2026000091</t>
  </si>
  <si>
    <t>270-2026000719</t>
  </si>
  <si>
    <t>18-2026002358</t>
  </si>
  <si>
    <t>18-2026002352</t>
  </si>
  <si>
    <t>298-2025000031</t>
  </si>
  <si>
    <t>18-2026002215</t>
  </si>
  <si>
    <t>18-2026002297</t>
  </si>
  <si>
    <t>19-2026000104</t>
  </si>
  <si>
    <t>20-2026000299</t>
  </si>
  <si>
    <t>18-2026002301</t>
  </si>
  <si>
    <t>298-2026000258</t>
  </si>
  <si>
    <t>18-2026002406</t>
  </si>
  <si>
    <t>18-2026002289</t>
  </si>
  <si>
    <t>19-2026000112</t>
  </si>
  <si>
    <t>20-2026000306</t>
  </si>
  <si>
    <t>18-2026002349</t>
  </si>
  <si>
    <t>18-2026002225</t>
  </si>
  <si>
    <t>18-2026002396</t>
  </si>
  <si>
    <t>18-2026002362</t>
  </si>
  <si>
    <t>18-2026002344</t>
  </si>
  <si>
    <t>18-2026002405</t>
  </si>
  <si>
    <t>19-2026000108</t>
  </si>
  <si>
    <t>18-2026002348</t>
  </si>
  <si>
    <t>18-2026002380</t>
  </si>
  <si>
    <t>20-2026000279</t>
  </si>
  <si>
    <t>234-2026011395</t>
  </si>
  <si>
    <t>234-2026011646</t>
  </si>
  <si>
    <t>18-2026002410</t>
  </si>
  <si>
    <t>18-2026002430</t>
  </si>
  <si>
    <t>18-2026002409</t>
  </si>
  <si>
    <t>298-2026000257</t>
  </si>
  <si>
    <t>20-2026000328</t>
  </si>
  <si>
    <t>18-2026002456</t>
  </si>
  <si>
    <t>18-2026002469</t>
  </si>
  <si>
    <t>298-2025000396</t>
  </si>
  <si>
    <t>18-2026002379</t>
  </si>
  <si>
    <t>234-2026001065</t>
  </si>
  <si>
    <t>234-2026001064</t>
  </si>
  <si>
    <t>20-2026000332</t>
  </si>
  <si>
    <t>234-2026011044</t>
  </si>
  <si>
    <t>234-2026011050</t>
  </si>
  <si>
    <t>234-2026011282</t>
  </si>
  <si>
    <t>234-2026011471</t>
  </si>
  <si>
    <t>234-2026011429</t>
  </si>
  <si>
    <t>234-2026008572</t>
  </si>
  <si>
    <t>234-2026010679</t>
  </si>
  <si>
    <t>234-2026010730</t>
  </si>
  <si>
    <t>234-2026010731</t>
  </si>
  <si>
    <t>234-2026010768</t>
  </si>
  <si>
    <t>234-2026010675</t>
  </si>
  <si>
    <t>234-2026010900</t>
  </si>
  <si>
    <t>234-2026010810</t>
  </si>
  <si>
    <t>234-2026010075</t>
  </si>
  <si>
    <t>234-2026010134</t>
  </si>
  <si>
    <t>234-2026010583</t>
  </si>
  <si>
    <t>234-2026010674</t>
  </si>
  <si>
    <t>234-2026010680</t>
  </si>
  <si>
    <t>234-2026010683</t>
  </si>
  <si>
    <t>234-2026009198</t>
  </si>
  <si>
    <t>234-2026009801</t>
  </si>
  <si>
    <t>234-2026009803</t>
  </si>
  <si>
    <t>234-2026009823</t>
  </si>
  <si>
    <t>234-2026008719</t>
  </si>
  <si>
    <t>234-2026008902</t>
  </si>
  <si>
    <t>234-2026009189</t>
  </si>
  <si>
    <t>234-2026009192</t>
  </si>
  <si>
    <t>234-2026010684</t>
  </si>
  <si>
    <t>234-2026010716</t>
  </si>
  <si>
    <t>234-2026010729</t>
  </si>
  <si>
    <t>234-2026010677</t>
  </si>
  <si>
    <t>234-2026010918</t>
  </si>
  <si>
    <t>20-2026000304</t>
  </si>
  <si>
    <t>20-2026000290</t>
  </si>
  <si>
    <t>298-2026000259</t>
  </si>
  <si>
    <t>19-2026000109</t>
  </si>
  <si>
    <t>270-2026000732</t>
  </si>
  <si>
    <t>19-2026000095</t>
  </si>
  <si>
    <t>20-2026000329</t>
  </si>
  <si>
    <t>19-2026000087</t>
  </si>
  <si>
    <t>19-2026000097</t>
  </si>
  <si>
    <t>18-2026002475</t>
  </si>
  <si>
    <t>20-2026000320</t>
  </si>
  <si>
    <t>234-2026011452</t>
  </si>
  <si>
    <t>20-2026000315</t>
  </si>
  <si>
    <t>20-2026000289</t>
  </si>
  <si>
    <t>19-2026000093</t>
  </si>
  <si>
    <t>20-2026000335</t>
  </si>
  <si>
    <t>298-2025000406</t>
  </si>
  <si>
    <t>18-2026002479</t>
  </si>
  <si>
    <t>18-2026002486</t>
  </si>
  <si>
    <t>234-2026011412</t>
  </si>
  <si>
    <t>234-2026011354</t>
  </si>
  <si>
    <t>20-2026000301</t>
  </si>
  <si>
    <t>298-2026000254</t>
  </si>
  <si>
    <t>18-2026002474</t>
  </si>
  <si>
    <t>234-2026011443</t>
  </si>
  <si>
    <t>18-2026002473</t>
  </si>
  <si>
    <t>20-2026000356</t>
  </si>
  <si>
    <t>20-2026000351</t>
  </si>
  <si>
    <t>19-2026000107</t>
  </si>
  <si>
    <t>18-2026001169</t>
  </si>
  <si>
    <t>270-2026000733</t>
  </si>
  <si>
    <t>20-2026000272</t>
  </si>
  <si>
    <t>270-2026000736</t>
  </si>
  <si>
    <t>374-2026000030</t>
  </si>
  <si>
    <t>374-2026000031</t>
  </si>
  <si>
    <t>18-2026002471</t>
  </si>
  <si>
    <t>19-2026000094</t>
  </si>
  <si>
    <t>374-2026000028</t>
  </si>
  <si>
    <t>234-2026011519</t>
  </si>
  <si>
    <t>20-2026000314</t>
  </si>
  <si>
    <t>20-2026000284</t>
  </si>
  <si>
    <t>18-2026002427</t>
  </si>
  <si>
    <t>18-2026000111</t>
  </si>
  <si>
    <t>18-2026002464</t>
  </si>
  <si>
    <t>18-2026002493</t>
  </si>
  <si>
    <t>20-2026000368</t>
  </si>
  <si>
    <t>18-2026002403</t>
  </si>
  <si>
    <t>374-2026000032</t>
  </si>
  <si>
    <t>19-2026000114</t>
  </si>
  <si>
    <t>18-2026002392</t>
  </si>
  <si>
    <t>18-2026002455</t>
  </si>
  <si>
    <t>18-2026002489</t>
  </si>
  <si>
    <t>18-2026002496</t>
  </si>
  <si>
    <t>270-2026000265</t>
  </si>
  <si>
    <t>20-2026000307</t>
  </si>
  <si>
    <t>20-2026000327</t>
  </si>
  <si>
    <t>18-2026002335</t>
  </si>
  <si>
    <t>20-2026000318</t>
  </si>
  <si>
    <t>18-2026002467</t>
  </si>
  <si>
    <t>18-2026002407</t>
  </si>
  <si>
    <t>20-2026000331</t>
  </si>
  <si>
    <t>18-2026002485</t>
  </si>
  <si>
    <t>18-2026002408</t>
  </si>
  <si>
    <t>298-2026000261</t>
  </si>
  <si>
    <t>20-2026000342</t>
  </si>
  <si>
    <t>18-2026002458</t>
  </si>
  <si>
    <t>18-2026002468</t>
  </si>
  <si>
    <t>18-2026002484</t>
  </si>
  <si>
    <t>18-20260810</t>
  </si>
  <si>
    <t>18-2026002477</t>
  </si>
  <si>
    <t>18-2026002483</t>
  </si>
  <si>
    <t>18-2026002448</t>
  </si>
  <si>
    <t>270-2026000746</t>
  </si>
  <si>
    <t>18-2026002426</t>
  </si>
  <si>
    <t>18-2026002398</t>
  </si>
  <si>
    <t>18-2026002343</t>
  </si>
  <si>
    <t>18-2026002421</t>
  </si>
  <si>
    <t>298-2026000267</t>
  </si>
  <si>
    <t>234-2026011837</t>
  </si>
  <si>
    <t>18-2026002512</t>
  </si>
  <si>
    <t>18-2026002492</t>
  </si>
  <si>
    <t>270-2026000744</t>
  </si>
  <si>
    <t>20-2026000325</t>
  </si>
  <si>
    <t>18-2026002491</t>
  </si>
  <si>
    <t>18-2026002295</t>
  </si>
  <si>
    <t>18-2026002502</t>
  </si>
  <si>
    <t>18-2026002480</t>
  </si>
  <si>
    <t>18-2026002500</t>
  </si>
  <si>
    <t>20-2026000333</t>
  </si>
  <si>
    <t>20-2026000334</t>
  </si>
  <si>
    <t>20-2026000321</t>
  </si>
  <si>
    <t>20-2026000232</t>
  </si>
  <si>
    <t>18-2026002495</t>
  </si>
  <si>
    <t>19-2026000106</t>
  </si>
  <si>
    <t>18-2026002478</t>
  </si>
  <si>
    <t>20-2026000348</t>
  </si>
  <si>
    <t>18-2026002457</t>
  </si>
  <si>
    <t>19-2026000113</t>
  </si>
  <si>
    <t>234-2026011770</t>
  </si>
  <si>
    <t>234-2026011469</t>
  </si>
  <si>
    <t>234-2026011733</t>
  </si>
  <si>
    <t>20-2026000350</t>
  </si>
  <si>
    <t>20-2026000337</t>
  </si>
  <si>
    <t>18-2026002399</t>
  </si>
  <si>
    <t>20-2026000330</t>
  </si>
  <si>
    <t>20-2026000355</t>
  </si>
  <si>
    <t>20-2026000312</t>
  </si>
  <si>
    <t>20-2026000317</t>
  </si>
  <si>
    <t>49-2026000022</t>
  </si>
  <si>
    <t>20-2026000338</t>
  </si>
  <si>
    <t>20-2026000354</t>
  </si>
  <si>
    <t>18-2026002465</t>
  </si>
  <si>
    <t>18-2026002437</t>
  </si>
  <si>
    <t>49-2026000023</t>
  </si>
  <si>
    <t>234-2026011482</t>
  </si>
  <si>
    <t>234-2026010066</t>
  </si>
  <si>
    <t>234-2026010697</t>
  </si>
  <si>
    <t>234-2026010170</t>
  </si>
  <si>
    <t>234-2026010464</t>
  </si>
  <si>
    <t>18-2026002487</t>
  </si>
  <si>
    <t>20-2026000362</t>
  </si>
  <si>
    <t>18-2026002429</t>
  </si>
  <si>
    <t>298-2026000255</t>
  </si>
  <si>
    <t>2-2026002513</t>
  </si>
  <si>
    <t>3-2026002515</t>
  </si>
  <si>
    <t>1-2026002499</t>
  </si>
  <si>
    <t>298-2026000253</t>
  </si>
  <si>
    <t>18-2026002340</t>
  </si>
  <si>
    <t>20-2026000343</t>
  </si>
  <si>
    <t>18-2026002498</t>
  </si>
  <si>
    <t>20-2026000302</t>
  </si>
  <si>
    <t>18-2026002519</t>
  </si>
  <si>
    <t>19-2026000098</t>
  </si>
  <si>
    <t>20-2026000319</t>
  </si>
  <si>
    <t>4-2026002521</t>
  </si>
  <si>
    <t>20-2026000313</t>
  </si>
  <si>
    <t>270-2026000738</t>
  </si>
  <si>
    <t>18-2026002191</t>
  </si>
  <si>
    <t>18-2026002337</t>
  </si>
  <si>
    <t>18-2026002516</t>
  </si>
  <si>
    <t>20-2026000371</t>
  </si>
  <si>
    <t>270-2026000614</t>
  </si>
  <si>
    <t>18-2026002844</t>
  </si>
  <si>
    <t>18-2026002494</t>
  </si>
  <si>
    <t>49-2026000020</t>
  </si>
  <si>
    <t>270-2026000748</t>
  </si>
  <si>
    <t>298-2026000265</t>
  </si>
  <si>
    <t>298-2026000264</t>
  </si>
  <si>
    <t>18-2026002520</t>
  </si>
  <si>
    <t>18-2026002488</t>
  </si>
  <si>
    <t>18-2026002339</t>
  </si>
  <si>
    <t>374-2026000029</t>
  </si>
  <si>
    <t>2240_SEDE_BARRANCABERMEJA</t>
  </si>
  <si>
    <t>3112_DIV_CONTRATACION</t>
  </si>
  <si>
    <t>3160_DIV_PLANTA_FISICA</t>
  </si>
  <si>
    <t>6210_DEC_FAC_CIENCIAS_HUMANAS</t>
  </si>
  <si>
    <t>6540_ESC_ING_CIVIL</t>
  </si>
  <si>
    <t>2110_VICE_ACADEMICA</t>
  </si>
  <si>
    <t>4110_VICE_INVESTIGACION_EXTENSION</t>
  </si>
  <si>
    <t>3140_DIV_FINANCIERA</t>
  </si>
  <si>
    <t>6150_ESC_QUIMICA</t>
  </si>
  <si>
    <t>4110_CICTA</t>
  </si>
  <si>
    <t>6530_ESC_ESTUDIOS_INDUST_EMPRESARIALES</t>
  </si>
  <si>
    <t>6140_ESC_MATEMATICAS</t>
  </si>
  <si>
    <t>2170_DIR_CULTURAL</t>
  </si>
  <si>
    <t>1110_RECTORIA</t>
  </si>
  <si>
    <t>6250_ESC_EDUCACION</t>
  </si>
  <si>
    <t>3180_DIV_GESTION_TALENTO_HUMANO</t>
  </si>
  <si>
    <t>1112_UISALUD</t>
  </si>
  <si>
    <t>6260_ESC_HISTORIA</t>
  </si>
  <si>
    <t>6440_ESC_ING_PETROLEOS</t>
  </si>
  <si>
    <t>2127_COORD_SERVIC_ALIMENTACION</t>
  </si>
  <si>
    <t>1110_SEDE_GUATIGUARA</t>
  </si>
  <si>
    <t>6290_DPTO_EDUCACION_FISICA_DEPORTES</t>
  </si>
  <si>
    <t>3170_DIV_PUBLICACIONES</t>
  </si>
  <si>
    <t>2140_BIBLIOTECA</t>
  </si>
  <si>
    <t>6520_ESC_DISENO_INDUSTRIAL</t>
  </si>
  <si>
    <t>6810_DEC_FAC_SALUD</t>
  </si>
  <si>
    <t>2250_SEDE_BARBOSA</t>
  </si>
  <si>
    <t>6510_DEC_FAC_ING_FISICOMECANICAS</t>
  </si>
  <si>
    <t>6550_E3T</t>
  </si>
  <si>
    <t>6450_ESC_ING_QUIMICA</t>
  </si>
  <si>
    <t>6560_ESC_ING_MECANICA</t>
  </si>
  <si>
    <t>1114_DIR_COMUNICACIONES</t>
  </si>
  <si>
    <t>6430_ESC_ING_METALUR_CIENCIAS_MATERIALES</t>
  </si>
  <si>
    <t>6820_ESC_MICROBIOLOGIA</t>
  </si>
  <si>
    <t>6863_DPTO_GINECOBSTETRICIA</t>
  </si>
  <si>
    <t>4110_GIT</t>
  </si>
  <si>
    <t>6410_DEC_FAC_ING_FISICO_QUIMICAS</t>
  </si>
  <si>
    <t>6812_PROINAPSA</t>
  </si>
  <si>
    <t>3150_DMT</t>
  </si>
  <si>
    <t>6830_ESC_ENFERMERIA</t>
  </si>
  <si>
    <t>1188_IPRED</t>
  </si>
  <si>
    <t>6280_ESC_TRABAJO_SOCIAL</t>
  </si>
  <si>
    <t>6868_DPTO_SALUD_PUBLICA</t>
  </si>
  <si>
    <t>3190_DTIC</t>
  </si>
  <si>
    <t>6860_ESC_MEDICINA</t>
  </si>
  <si>
    <t>6230_ESC_DERECHO_CIENCIA_POLITICA</t>
  </si>
  <si>
    <t>1130_PLANEACION</t>
  </si>
  <si>
    <t>6120_ESC_BIOLOGIA</t>
  </si>
  <si>
    <t>6220_ESC_ARTES</t>
  </si>
  <si>
    <t>6861_DPTO_CIENCIAS_BASICAS</t>
  </si>
  <si>
    <t>2220_SEDE_SOCORRO</t>
  </si>
  <si>
    <t>6212_INSTITUTO_LENGUAS</t>
  </si>
  <si>
    <t>3110_VICE_ADMINISTRATIVA</t>
  </si>
  <si>
    <t>6867_DPTO_SALUD_MENTAL</t>
  </si>
  <si>
    <t>6850_ESC_NUTRICION_DIETETICA</t>
  </si>
  <si>
    <t>1156_DIR_CERTI_GESTION_DOCUMENTAL</t>
  </si>
  <si>
    <t>C09_CONTRATOS</t>
  </si>
  <si>
    <t>C09.08_ORDEN_COMPRA</t>
  </si>
  <si>
    <t>C09.14_CONVOCATORIA_PUBLICA</t>
  </si>
  <si>
    <t>C09.29_ORDEN_PREST_SERVI_IMPOR</t>
  </si>
  <si>
    <t>C09.12_ORDEN_TRABAJO</t>
  </si>
  <si>
    <t>C09.27_CONV_PUBLICA_ABREV</t>
  </si>
  <si>
    <t>C09.11_ORDEN_PRESTACION_SERVICIOS</t>
  </si>
  <si>
    <t>C09.10_ORDEN_PAGO</t>
  </si>
  <si>
    <t>C09.17_ORDEN_CONSULTORIA</t>
  </si>
  <si>
    <t>C09.33_ORDEN_SUMINISTROS</t>
  </si>
  <si>
    <t>C09.23_CONTR_PREST_SERVI_RED_SALUD</t>
  </si>
  <si>
    <t>C09.28_ORDEN_COMPRA_IMPORTACION</t>
  </si>
  <si>
    <t>C09._CONTRATO_GENERAL</t>
  </si>
  <si>
    <t>C09.19_CONTRATOS_INTERADMINISTRATIVOS</t>
  </si>
  <si>
    <t>C09.11_ORDEN_PRESTACION_SERVICIO</t>
  </si>
  <si>
    <t>05/08/2026 10:16</t>
  </si>
  <si>
    <t>11/08/2026 09:06</t>
  </si>
  <si>
    <t>11/08/2026 09:48</t>
  </si>
  <si>
    <t>10/08/2026 06:56</t>
  </si>
  <si>
    <t>11/08/2026 08:00</t>
  </si>
  <si>
    <t>11/08/2026 11:21</t>
  </si>
  <si>
    <t>06/08/2026 07:59</t>
  </si>
  <si>
    <t>05/08/2026 16:56</t>
  </si>
  <si>
    <t>05/08/2026 08:50</t>
  </si>
  <si>
    <t>11/08/2026 16:46</t>
  </si>
  <si>
    <t>06/08/2026 14:20</t>
  </si>
  <si>
    <t>06/08/2026 16:09</t>
  </si>
  <si>
    <t>06/08/2026 16:10</t>
  </si>
  <si>
    <t>06/08/2026 16:22</t>
  </si>
  <si>
    <t>06/08/2026 16:27</t>
  </si>
  <si>
    <t>10/08/2026 09:51</t>
  </si>
  <si>
    <t>13/08/2026 07:04</t>
  </si>
  <si>
    <t>12/08/2026 15:34</t>
  </si>
  <si>
    <t>13/08/2026 07:16</t>
  </si>
  <si>
    <t>12/08/2026 14:47</t>
  </si>
  <si>
    <t>10/08/2026 16:04</t>
  </si>
  <si>
    <t>12/08/2026 15:35</t>
  </si>
  <si>
    <t>13/08/2026 08:24</t>
  </si>
  <si>
    <t>12/08/2026 10:38</t>
  </si>
  <si>
    <t>04/08/2026 15:25</t>
  </si>
  <si>
    <t>04/08/2026 16:43</t>
  </si>
  <si>
    <t>03/08/2026 11:56</t>
  </si>
  <si>
    <t>05/08/2026 10:55</t>
  </si>
  <si>
    <t>04/08/2026 08:39</t>
  </si>
  <si>
    <t>04/08/2026 09:06</t>
  </si>
  <si>
    <t>04/08/2026 09:16</t>
  </si>
  <si>
    <t>04/08/2026 09:30</t>
  </si>
  <si>
    <t>04/08/2026 09:41</t>
  </si>
  <si>
    <t>03/08/2026 14:53</t>
  </si>
  <si>
    <t>05/08/2026 07:15</t>
  </si>
  <si>
    <t>05/08/2026 10:36</t>
  </si>
  <si>
    <t>04/08/2026 18:04</t>
  </si>
  <si>
    <t>04/08/2026 10:17</t>
  </si>
  <si>
    <t>05/08/2026 07:26</t>
  </si>
  <si>
    <t>10/08/2026 16:58</t>
  </si>
  <si>
    <t>06/08/2026 09:03</t>
  </si>
  <si>
    <t>06/08/2026 07:54</t>
  </si>
  <si>
    <t>03/08/2026 13:45</t>
  </si>
  <si>
    <t>18/08/2026 10:43</t>
  </si>
  <si>
    <t>18/08/2026 11:18</t>
  </si>
  <si>
    <t>18/08/2026 09:51</t>
  </si>
  <si>
    <t>14/08/2026 12:14</t>
  </si>
  <si>
    <t>18/08/2026 07:50</t>
  </si>
  <si>
    <t>13/08/2026 16:07</t>
  </si>
  <si>
    <t>05/08/2026 14:11</t>
  </si>
  <si>
    <t>18/08/2026 14:27</t>
  </si>
  <si>
    <t>14/08/2026 14:32</t>
  </si>
  <si>
    <t>13/08/2026 15:26</t>
  </si>
  <si>
    <t>05/08/2026 14:59</t>
  </si>
  <si>
    <t>14/08/2026 11:37</t>
  </si>
  <si>
    <t>05/08/2026 16:19</t>
  </si>
  <si>
    <t>14/08/2026 14:57</t>
  </si>
  <si>
    <t>05/08/2026 14:40</t>
  </si>
  <si>
    <t>04/08/2026 16:38</t>
  </si>
  <si>
    <t>05/08/2026 16:00</t>
  </si>
  <si>
    <t>05/08/2026 14:39</t>
  </si>
  <si>
    <t>05/08/2026 14:36</t>
  </si>
  <si>
    <t>19/08/2026 08:45</t>
  </si>
  <si>
    <t>18/08/2026 17:35</t>
  </si>
  <si>
    <t>18/08/2026 17:36</t>
  </si>
  <si>
    <t>19/08/2026 10:10</t>
  </si>
  <si>
    <t>19/08/2026 10:46</t>
  </si>
  <si>
    <t>18/08/2026 17:07</t>
  </si>
  <si>
    <t>12/08/2026 15:45</t>
  </si>
  <si>
    <t>12/08/2026 11:34</t>
  </si>
  <si>
    <t>19/08/2026 10:16</t>
  </si>
  <si>
    <t>19/08/2026 10:51</t>
  </si>
  <si>
    <t>19/08/2026 10:52</t>
  </si>
  <si>
    <t>18/08/2026 15:46</t>
  </si>
  <si>
    <t>18/08/2026 16:10</t>
  </si>
  <si>
    <t>06/08/2026 14:42</t>
  </si>
  <si>
    <t>19/08/2026 10:55</t>
  </si>
  <si>
    <t>19/08/2026 10:56</t>
  </si>
  <si>
    <t>19/08/2026 10:57</t>
  </si>
  <si>
    <t>19/08/2026 10:58</t>
  </si>
  <si>
    <t>19/08/2026 10:59</t>
  </si>
  <si>
    <t>21/08/2026 09:13</t>
  </si>
  <si>
    <t>21/08/2026 09:50</t>
  </si>
  <si>
    <t>21/08/2026 08:03</t>
  </si>
  <si>
    <t>21/08/2026 08:18</t>
  </si>
  <si>
    <t>21/08/2026 08:29</t>
  </si>
  <si>
    <t>20/08/2026 18:29</t>
  </si>
  <si>
    <t>20/08/2026 18:30</t>
  </si>
  <si>
    <t>18/08/2026 10:22</t>
  </si>
  <si>
    <t>10/08/2026 08:40</t>
  </si>
  <si>
    <t>21/08/2026 08:24</t>
  </si>
  <si>
    <t>05/08/2026 16:48</t>
  </si>
  <si>
    <t>10/08/2026 08:30</t>
  </si>
  <si>
    <t>21/08/2026 14:07</t>
  </si>
  <si>
    <t>21/08/2026 11:59</t>
  </si>
  <si>
    <t>21/08/2026 11:49</t>
  </si>
  <si>
    <t>06/08/2026 09:26</t>
  </si>
  <si>
    <t>21/08/2026 14:34</t>
  </si>
  <si>
    <t>21/08/2026 14:32</t>
  </si>
  <si>
    <t>21/08/2026 14:35</t>
  </si>
  <si>
    <t>22/08/2026 12:40</t>
  </si>
  <si>
    <t>21/08/2026 16:42</t>
  </si>
  <si>
    <t>21/08/2026 16:53</t>
  </si>
  <si>
    <t>21/08/2026 17:58</t>
  </si>
  <si>
    <t>20/08/2026 09:58</t>
  </si>
  <si>
    <t>03/08/2026 16:20</t>
  </si>
  <si>
    <t>11/08/2026 16:02</t>
  </si>
  <si>
    <t>20/08/2026 11:48</t>
  </si>
  <si>
    <t>20/08/2026 11:27</t>
  </si>
  <si>
    <t>20/08/2026 11:25</t>
  </si>
  <si>
    <t>20/08/2026 10:29</t>
  </si>
  <si>
    <t>05/08/2026 11:50</t>
  </si>
  <si>
    <t>03/08/2026 15:48</t>
  </si>
  <si>
    <t>03/08/2026 16:48</t>
  </si>
  <si>
    <t>04/08/2026 08:20</t>
  </si>
  <si>
    <t>04/08/2026 08:22</t>
  </si>
  <si>
    <t>03/08/2026 08:04</t>
  </si>
  <si>
    <t>03/08/2026 08:34</t>
  </si>
  <si>
    <t>03/08/2026 08:16</t>
  </si>
  <si>
    <t>03/08/2026 14:42</t>
  </si>
  <si>
    <t>03/08/2026 15:22</t>
  </si>
  <si>
    <t>03/08/2026 16:12</t>
  </si>
  <si>
    <t>03/08/2026 11:21</t>
  </si>
  <si>
    <t>03/08/2026 11:09</t>
  </si>
  <si>
    <t>04/08/2026 14:24</t>
  </si>
  <si>
    <t>04/08/2026 11:59</t>
  </si>
  <si>
    <t>03/08/2026 11:32</t>
  </si>
  <si>
    <t>04/08/2026 15:20</t>
  </si>
  <si>
    <t>03/08/2026 10:10</t>
  </si>
  <si>
    <t>03/08/2026 10:28</t>
  </si>
  <si>
    <t>03/08/2026 10:44</t>
  </si>
  <si>
    <t>03/08/2026 09:11</t>
  </si>
  <si>
    <t>03/08/2026 08:58</t>
  </si>
  <si>
    <t>03/08/2026 09:45</t>
  </si>
  <si>
    <t>03/08/2026 08:46</t>
  </si>
  <si>
    <t>03/08/2026 10:54</t>
  </si>
  <si>
    <t>04/08/2026 10:13</t>
  </si>
  <si>
    <t>03/08/2026 11:46</t>
  </si>
  <si>
    <t>03/08/2026 11:36</t>
  </si>
  <si>
    <t>03/08/2026 14:25</t>
  </si>
  <si>
    <t>03/08/2026 14:13</t>
  </si>
  <si>
    <t>05/08/2026 15:20</t>
  </si>
  <si>
    <t>05/08/2026 15:43</t>
  </si>
  <si>
    <t>06/08/2026 14:26</t>
  </si>
  <si>
    <t>06/08/2026 14:41</t>
  </si>
  <si>
    <t>06/08/2026 14:13</t>
  </si>
  <si>
    <t>06/08/2026 14:32</t>
  </si>
  <si>
    <t>05/08/2026 16:04</t>
  </si>
  <si>
    <t>06/08/2026 14:15</t>
  </si>
  <si>
    <t>03/08/2026 11:55</t>
  </si>
  <si>
    <t>06/08/2026 15:24</t>
  </si>
  <si>
    <t>06/08/2026 15:29</t>
  </si>
  <si>
    <t>05/08/2026 16:31</t>
  </si>
  <si>
    <t>10/08/2026 10:14</t>
  </si>
  <si>
    <t>10/08/2026 07:34</t>
  </si>
  <si>
    <t>04/08/2026 11:55</t>
  </si>
  <si>
    <t>10/08/2026 11:39</t>
  </si>
  <si>
    <t>05/08/2026 17:33</t>
  </si>
  <si>
    <t>05/08/2026 16:16</t>
  </si>
  <si>
    <t>05/08/2026 17:15</t>
  </si>
  <si>
    <t>06/08/2026 10:04</t>
  </si>
  <si>
    <t>06/08/2026 13:23</t>
  </si>
  <si>
    <t>06/08/2026 13:35</t>
  </si>
  <si>
    <t>06/08/2026 12:20</t>
  </si>
  <si>
    <t>11/08/2026 08:46</t>
  </si>
  <si>
    <t>14/08/2026 13:50</t>
  </si>
  <si>
    <t>13/08/2026 16:53</t>
  </si>
  <si>
    <t>18/08/2026 09:53</t>
  </si>
  <si>
    <t>18/08/2026 09:54</t>
  </si>
  <si>
    <t>18/08/2026 09:34</t>
  </si>
  <si>
    <t>18/08/2026 09:56</t>
  </si>
  <si>
    <t>18/08/2026 09:57</t>
  </si>
  <si>
    <t>18/08/2026 09:59</t>
  </si>
  <si>
    <t>13/08/2026 16:17</t>
  </si>
  <si>
    <t>13/08/2026 10:08</t>
  </si>
  <si>
    <t>18/08/2026 10:00</t>
  </si>
  <si>
    <t>18/08/2026 10:13</t>
  </si>
  <si>
    <t>10/08/2026 08:19</t>
  </si>
  <si>
    <t>06/08/2026 14:08</t>
  </si>
  <si>
    <t>06/08/2026 16:52</t>
  </si>
  <si>
    <t>11/08/2026 15:31</t>
  </si>
  <si>
    <t>05/08/2026 08:41</t>
  </si>
  <si>
    <t>11/08/2026 16:05</t>
  </si>
  <si>
    <t>11/08/2026 16:08</t>
  </si>
  <si>
    <t>11/08/2026 15:13</t>
  </si>
  <si>
    <t>12/08/2026 08:54</t>
  </si>
  <si>
    <t>12/08/2026 07:39</t>
  </si>
  <si>
    <t>06/08/2026 10:23</t>
  </si>
  <si>
    <t>11/08/2026 08:25</t>
  </si>
  <si>
    <t>12/08/2026 09:51</t>
  </si>
  <si>
    <t>12/08/2026 08:55</t>
  </si>
  <si>
    <t>11/08/2026 11:12</t>
  </si>
  <si>
    <t>10/08/2026 15:55</t>
  </si>
  <si>
    <t>10/08/2026 16:15</t>
  </si>
  <si>
    <t>10/08/2026 08:11</t>
  </si>
  <si>
    <t>11/08/2026 15:25</t>
  </si>
  <si>
    <t>12/08/2026 15:46</t>
  </si>
  <si>
    <t>13/08/2026 16:34</t>
  </si>
  <si>
    <t>04/08/2026 08:46</t>
  </si>
  <si>
    <t>14/08/2026 09:00</t>
  </si>
  <si>
    <t>13/08/2026 11:05</t>
  </si>
  <si>
    <t>13/08/2026 11:22</t>
  </si>
  <si>
    <t>13/08/2026 10:07</t>
  </si>
  <si>
    <t>05/08/2026 15:02</t>
  </si>
  <si>
    <t>11/08/2026 15:41</t>
  </si>
  <si>
    <t>10/08/2026 09:31</t>
  </si>
  <si>
    <t>12/08/2026 10:54</t>
  </si>
  <si>
    <t>13/08/2026 14:36</t>
  </si>
  <si>
    <t>13/08/2026 16:14</t>
  </si>
  <si>
    <t>13/08/2026 09:09</t>
  </si>
  <si>
    <t>03/08/2026 16:46</t>
  </si>
  <si>
    <t>14/08/2026 09:42</t>
  </si>
  <si>
    <t>14/08/2026 11:33</t>
  </si>
  <si>
    <t>06/08/2026 14:52</t>
  </si>
  <si>
    <t>06/08/2026 14:17</t>
  </si>
  <si>
    <t>14/08/2026 15:47</t>
  </si>
  <si>
    <t>14/08/2026 15:54</t>
  </si>
  <si>
    <t>14/08/2026 15:27</t>
  </si>
  <si>
    <t>14/08/2026 16:47</t>
  </si>
  <si>
    <t>14/08/2026 16:46</t>
  </si>
  <si>
    <t>19/08/2026 11:44</t>
  </si>
  <si>
    <t>19/08/2026 11:43</t>
  </si>
  <si>
    <t>19/08/2026 11:41</t>
  </si>
  <si>
    <t>19/08/2026 11:40</t>
  </si>
  <si>
    <t>19/08/2026 11:38</t>
  </si>
  <si>
    <t>19/08/2026 11:39</t>
  </si>
  <si>
    <t>19/08/2026 14:42</t>
  </si>
  <si>
    <t>18/08/2026 16:50</t>
  </si>
  <si>
    <t>19/08/2026 11:55</t>
  </si>
  <si>
    <t>19/08/2026 11:56</t>
  </si>
  <si>
    <t>19/08/2026 11:42</t>
  </si>
  <si>
    <t>14/08/2026 13:00</t>
  </si>
  <si>
    <t>05/08/2026 16:47</t>
  </si>
  <si>
    <t>19/08/2026 16:02</t>
  </si>
  <si>
    <t>25/08/2026 09:32</t>
  </si>
  <si>
    <t>24/08/2026 11:29</t>
  </si>
  <si>
    <t>24/08/2026 11:28</t>
  </si>
  <si>
    <t>24/08/2026 11:33</t>
  </si>
  <si>
    <t>24/08/2026 11:46</t>
  </si>
  <si>
    <t>24/08/2026 11:45</t>
  </si>
  <si>
    <t>24/08/2026 11:48</t>
  </si>
  <si>
    <t>24/08/2026 11:47</t>
  </si>
  <si>
    <t>24/08/2026 11:49</t>
  </si>
  <si>
    <t>24/08/2026 15:33</t>
  </si>
  <si>
    <t>24/08/2026 14:16</t>
  </si>
  <si>
    <t>24/08/2026 14:18</t>
  </si>
  <si>
    <t>24/08/2026 14:27</t>
  </si>
  <si>
    <t>24/08/2026 14:57</t>
  </si>
  <si>
    <t>24/08/2026 15:24</t>
  </si>
  <si>
    <t>14/08/2026 08:41</t>
  </si>
  <si>
    <t>13/08/2026 12:22</t>
  </si>
  <si>
    <t>11/08/2026 09:22</t>
  </si>
  <si>
    <t>21/08/2026 10:07</t>
  </si>
  <si>
    <t>20/08/2026 14:36</t>
  </si>
  <si>
    <t>21/08/2026 10:09</t>
  </si>
  <si>
    <t>21/08/2026 10:33</t>
  </si>
  <si>
    <t>20/08/2026 09:24</t>
  </si>
  <si>
    <t>24/08/2026 09:19</t>
  </si>
  <si>
    <t>24/08/2026 09:20</t>
  </si>
  <si>
    <t>24/08/2026 09:22</t>
  </si>
  <si>
    <t>20/08/2026 10:01</t>
  </si>
  <si>
    <t>13/08/2026 14:49</t>
  </si>
  <si>
    <t>24/08/2026 09:33</t>
  </si>
  <si>
    <t>13/08/2026 15:35</t>
  </si>
  <si>
    <t>12/08/2026 16:27</t>
  </si>
  <si>
    <t>24/08/2026 14:23</t>
  </si>
  <si>
    <t>24/08/2026 14:24</t>
  </si>
  <si>
    <t>24/08/2026 14:51</t>
  </si>
  <si>
    <t>24/08/2026 14:50</t>
  </si>
  <si>
    <t>10/08/2026 09:11</t>
  </si>
  <si>
    <t>24/08/2026 14:49</t>
  </si>
  <si>
    <t>24/08/2026 14:47</t>
  </si>
  <si>
    <t>24/08/2026 14:46</t>
  </si>
  <si>
    <t>24/08/2026 14:22</t>
  </si>
  <si>
    <t>24/08/2026 14:54</t>
  </si>
  <si>
    <t>24/08/2026 14:26</t>
  </si>
  <si>
    <t>24/08/2026 14:45</t>
  </si>
  <si>
    <t>12/08/2026 11:55</t>
  </si>
  <si>
    <t>21/08/2026 10:37</t>
  </si>
  <si>
    <t>11/08/2026 10:49</t>
  </si>
  <si>
    <t>14/08/2026 11:41</t>
  </si>
  <si>
    <t>24/08/2026 16:03</t>
  </si>
  <si>
    <t>03/08/2026 09:23</t>
  </si>
  <si>
    <t>24/08/2026 15:42</t>
  </si>
  <si>
    <t>10/08/2026 07:09</t>
  </si>
  <si>
    <t>24/08/2026 09:59</t>
  </si>
  <si>
    <t>20/08/2026 15:07</t>
  </si>
  <si>
    <t>20/08/2026 15:01</t>
  </si>
  <si>
    <t>19/08/2026 09:11</t>
  </si>
  <si>
    <t>20/08/2026 15:06</t>
  </si>
  <si>
    <t>05/08/2026 07:45</t>
  </si>
  <si>
    <t>20/08/2026 16:07</t>
  </si>
  <si>
    <t>21/08/2026 11:12</t>
  </si>
  <si>
    <t>21/08/2026 10:12</t>
  </si>
  <si>
    <t>24/08/2026 11:26</t>
  </si>
  <si>
    <t>24/08/2026 11:31</t>
  </si>
  <si>
    <t>24/08/2026 11:35</t>
  </si>
  <si>
    <t>24/08/2026 11:34</t>
  </si>
  <si>
    <t>24/08/2026 11:36</t>
  </si>
  <si>
    <t>24/08/2026 11:37</t>
  </si>
  <si>
    <t>24/08/2026 11:12</t>
  </si>
  <si>
    <t>24/08/2026 11:13</t>
  </si>
  <si>
    <t>24/08/2026 11:32</t>
  </si>
  <si>
    <t>24/08/2026 10:42</t>
  </si>
  <si>
    <t>24/08/2026 11:09</t>
  </si>
  <si>
    <t>24/08/2026 11:10</t>
  </si>
  <si>
    <t>24/08/2026 11:17</t>
  </si>
  <si>
    <t>24/08/2026 11:07</t>
  </si>
  <si>
    <t>24/08/2026 11:06</t>
  </si>
  <si>
    <t>24/08/2026 11:14</t>
  </si>
  <si>
    <t>24/08/2026 11:44</t>
  </si>
  <si>
    <t>24/08/2026 11:50</t>
  </si>
  <si>
    <t>24/08/2026 11:52</t>
  </si>
  <si>
    <t>24/08/2026 11:53</t>
  </si>
  <si>
    <t>24/08/2026 11:43</t>
  </si>
  <si>
    <t>24/08/2026 11:54</t>
  </si>
  <si>
    <t>24/08/2026 11:56</t>
  </si>
  <si>
    <t>24/08/2026 11:57</t>
  </si>
  <si>
    <t>24/08/2026 11:55</t>
  </si>
  <si>
    <t>24/08/2026 11:58</t>
  </si>
  <si>
    <t>24/08/2026 14:13</t>
  </si>
  <si>
    <t>24/08/2026 14:14</t>
  </si>
  <si>
    <t>24/08/2026 14:17</t>
  </si>
  <si>
    <t>25/08/2026 09:08</t>
  </si>
  <si>
    <t>24/08/2026 15:49</t>
  </si>
  <si>
    <t>12/08/2026 08:38</t>
  </si>
  <si>
    <t>24/08/2026 09:53</t>
  </si>
  <si>
    <t>24/08/2026 14:48</t>
  </si>
  <si>
    <t>24/08/2026 14:53</t>
  </si>
  <si>
    <t>24/08/2026 14:56</t>
  </si>
  <si>
    <t>21/08/2026 11:26</t>
  </si>
  <si>
    <t>25/08/2026 09:44</t>
  </si>
  <si>
    <t>25/08/2026 10:12</t>
  </si>
  <si>
    <t>10/08/2026 16:01</t>
  </si>
  <si>
    <t>25/08/2026 09:04</t>
  </si>
  <si>
    <t>26/08/2026 11:11</t>
  </si>
  <si>
    <t>25/08/2026 15:25</t>
  </si>
  <si>
    <t>14/08/2026 15:51</t>
  </si>
  <si>
    <t>26/08/2026 07:43</t>
  </si>
  <si>
    <t>26/08/2026 07:53</t>
  </si>
  <si>
    <t>26/08/2026 07:55</t>
  </si>
  <si>
    <t>24/08/2026 08:44</t>
  </si>
  <si>
    <t>05/08/2026 08:11</t>
  </si>
  <si>
    <t>14/08/2026 16:52</t>
  </si>
  <si>
    <t>26/08/2026 07:57</t>
  </si>
  <si>
    <t>21/08/2026 14:36</t>
  </si>
  <si>
    <t>21/08/2026 15:15</t>
  </si>
  <si>
    <t>21/08/2026 14:24</t>
  </si>
  <si>
    <t>05/08/2026 11:17</t>
  </si>
  <si>
    <t>21/08/2026 16:09</t>
  </si>
  <si>
    <t>21/08/2026 16:10</t>
  </si>
  <si>
    <t>21/08/2026 14:59</t>
  </si>
  <si>
    <t>27/08/2026 09:46</t>
  </si>
  <si>
    <t>27/08/2026 08:25</t>
  </si>
  <si>
    <t>26/08/2026 11:28</t>
  </si>
  <si>
    <t>26/08/2026 08:20</t>
  </si>
  <si>
    <t>24/08/2026 07:09</t>
  </si>
  <si>
    <t>20/08/2026 16:34</t>
  </si>
  <si>
    <t>26/08/2026 10:05</t>
  </si>
  <si>
    <t>26/08/2026 15:36</t>
  </si>
  <si>
    <t>26/08/2026 15:46</t>
  </si>
  <si>
    <t>26/08/2026 09:42</t>
  </si>
  <si>
    <t>26/08/2026 09:47</t>
  </si>
  <si>
    <t>26/08/2026 17:09</t>
  </si>
  <si>
    <t>21/08/2026 17:18</t>
  </si>
  <si>
    <t>26/08/2026 11:52</t>
  </si>
  <si>
    <t>20/08/2026 10:35</t>
  </si>
  <si>
    <t>26/08/2026 14:10</t>
  </si>
  <si>
    <t>26/08/2026 12:37</t>
  </si>
  <si>
    <t>24/08/2026 08:43</t>
  </si>
  <si>
    <t>25/08/2026 15:30</t>
  </si>
  <si>
    <t>25/08/2026 15:04</t>
  </si>
  <si>
    <t>10/08/2026 09:23</t>
  </si>
  <si>
    <t>25/08/2026 16:10</t>
  </si>
  <si>
    <t>27/08/2026 17:04</t>
  </si>
  <si>
    <t>27/08/2026 17:01</t>
  </si>
  <si>
    <t>27/08/2026 16:19</t>
  </si>
  <si>
    <t>28/08/2026 11:57</t>
  </si>
  <si>
    <t>28/08/2026 13:57</t>
  </si>
  <si>
    <t>28/08/2026 10:51</t>
  </si>
  <si>
    <t>28/08/2026 12:06</t>
  </si>
  <si>
    <t>28/08/2026 11:56</t>
  </si>
  <si>
    <t>19/08/2026 17:32</t>
  </si>
  <si>
    <t>27/08/2026 10:46</t>
  </si>
  <si>
    <t>27/08/2026 10:50</t>
  </si>
  <si>
    <t>28/08/2026 11:27</t>
  </si>
  <si>
    <t>28/08/2026 11:41</t>
  </si>
  <si>
    <t>27/08/2026 11:47</t>
  </si>
  <si>
    <t>25/08/2026 14:02</t>
  </si>
  <si>
    <t>28/08/2026 10:10</t>
  </si>
  <si>
    <t>28/08/2026 11:19</t>
  </si>
  <si>
    <t>28/08/2026 11:55</t>
  </si>
  <si>
    <t>28/08/2026 11:54</t>
  </si>
  <si>
    <t>28/08/2026 08:53</t>
  </si>
  <si>
    <t>28/08/2026 15:22</t>
  </si>
  <si>
    <t>28/08/2026 15:09</t>
  </si>
  <si>
    <t>28/08/2026 15:08</t>
  </si>
  <si>
    <t>27/08/2026 16:31</t>
  </si>
  <si>
    <t>27/08/2026 11:31</t>
  </si>
  <si>
    <t>27/08/2026 11:51</t>
  </si>
  <si>
    <t>27/08/2026 17:09</t>
  </si>
  <si>
    <t>27/08/2026 17:08</t>
  </si>
  <si>
    <t>27/08/2026 16:20</t>
  </si>
  <si>
    <t>27/08/2026 16:49</t>
  </si>
  <si>
    <t>12/08/2026 14:45</t>
  </si>
  <si>
    <t>27/08/2026 11:19</t>
  </si>
  <si>
    <t>10/08/2026 09:46</t>
  </si>
  <si>
    <t>27/08/2026 11:30</t>
  </si>
  <si>
    <t>27/08/2026 11:42</t>
  </si>
  <si>
    <t>27/08/2026 09:25</t>
  </si>
  <si>
    <t>24/08/2026 16:43</t>
  </si>
  <si>
    <t>27/08/2026 09:32</t>
  </si>
  <si>
    <t>26/08/2026 15:45</t>
  </si>
  <si>
    <t>27/08/2026 11:50</t>
  </si>
  <si>
    <t>28/08/2026 08:46</t>
  </si>
  <si>
    <t>28/08/2026 08:47</t>
  </si>
  <si>
    <t>27/08/2026 12:40</t>
  </si>
  <si>
    <t>27/08/2026 15:13</t>
  </si>
  <si>
    <t>27/08/2026 15:14</t>
  </si>
  <si>
    <t>25/08/2026 14:40</t>
  </si>
  <si>
    <t>27/08/2026 11:13</t>
  </si>
  <si>
    <t>27/08/2026 11:49</t>
  </si>
  <si>
    <t>27/08/2026 11:48</t>
  </si>
  <si>
    <t>27/08/2026 15:18</t>
  </si>
  <si>
    <t>25/08/2026 14:44</t>
  </si>
  <si>
    <t>27/08/2026 15:04</t>
  </si>
  <si>
    <t>27/08/2026 09:31</t>
  </si>
  <si>
    <t>27/08/2026 13:29</t>
  </si>
  <si>
    <t>27/08/2026 15:55</t>
  </si>
  <si>
    <t>27/08/2026 15:45</t>
  </si>
  <si>
    <t>25/08/2026 12:11</t>
  </si>
  <si>
    <t>28/08/2026 16:56</t>
  </si>
  <si>
    <t>29/08/2026 12:17</t>
  </si>
  <si>
    <t>28/08/2026 16:31</t>
  </si>
  <si>
    <t>12/08/2026 08:16</t>
  </si>
  <si>
    <t>28/08/2026 15:42</t>
  </si>
  <si>
    <t>28/08/2026 15:41</t>
  </si>
  <si>
    <t>28/08/2026 15:43</t>
  </si>
  <si>
    <t>06/08/2026 07:03</t>
  </si>
  <si>
    <t>28/08/2026 16:25</t>
  </si>
  <si>
    <t>28/08/2026 16:15</t>
  </si>
  <si>
    <t>28/08/2026 16:54</t>
  </si>
  <si>
    <t>31/08/2026 07:29</t>
  </si>
  <si>
    <t>05/08/2026 16:03</t>
  </si>
  <si>
    <t>31/08/2026 10:30</t>
  </si>
  <si>
    <t>21/08/2026 15:16</t>
  </si>
  <si>
    <t>31/08/2026 10:48</t>
  </si>
  <si>
    <t>31/08/2026 10:19</t>
  </si>
  <si>
    <t>31/08/2026 11:08</t>
  </si>
  <si>
    <t>31/08/2026 08:33</t>
  </si>
  <si>
    <t>31/08/2026 10:56</t>
  </si>
  <si>
    <t>13/08/2026 15:06</t>
  </si>
  <si>
    <t>31/08/2026 10:37</t>
  </si>
  <si>
    <t>31/08/2026 08:29</t>
  </si>
  <si>
    <t>31/08/2026 08:28</t>
  </si>
  <si>
    <t>31/08/2026 08:36</t>
  </si>
  <si>
    <t>31/08/2026 08:41</t>
  </si>
  <si>
    <t>10/08/2026 07:24</t>
  </si>
  <si>
    <t>31/08/2026 08:20</t>
  </si>
  <si>
    <t>31/08/2026 08:27</t>
  </si>
  <si>
    <t>31/08/2026 08:26</t>
  </si>
  <si>
    <t>31/08/2026 08:21</t>
  </si>
  <si>
    <t>31/08/2026 08:08</t>
  </si>
  <si>
    <t>25/08/2026 11:56</t>
  </si>
  <si>
    <t>31/08/2026 08:24</t>
  </si>
  <si>
    <t>31/08/2026 08:31</t>
  </si>
  <si>
    <t>31/08/2026 08:30</t>
  </si>
  <si>
    <t>31/08/2026 08:32</t>
  </si>
  <si>
    <t>20/08/2026 14:18</t>
  </si>
  <si>
    <t>31/08/2026 09:32</t>
  </si>
  <si>
    <t>27/08/2026 09:28</t>
  </si>
  <si>
    <t>04/08/2026 11:42</t>
  </si>
  <si>
    <t>31/08/2026 09:58</t>
  </si>
  <si>
    <t>31/08/2026 10:07</t>
  </si>
  <si>
    <t>27/08/2026 09:05</t>
  </si>
  <si>
    <t>31/08/2026 09:17</t>
  </si>
  <si>
    <t>31/08/2026 09:13</t>
  </si>
  <si>
    <t>31/08/2026 11:13</t>
  </si>
  <si>
    <t>26/08/2026 09:57</t>
  </si>
  <si>
    <t>31/08/2026 11:14</t>
  </si>
  <si>
    <t>31/08/2026 11:48</t>
  </si>
  <si>
    <t>31/08/2026 11:55</t>
  </si>
  <si>
    <t>27/08/2026 14:13</t>
  </si>
  <si>
    <t>31/08/2026 11:33</t>
  </si>
  <si>
    <t>31/08/2026 08:54</t>
  </si>
  <si>
    <t>04/08/2026 09:22</t>
  </si>
  <si>
    <t>31/08/2026 11:59</t>
  </si>
  <si>
    <t>18/08/2026 07:15</t>
  </si>
  <si>
    <t>31/08/2026 12:24</t>
  </si>
  <si>
    <t>18/08/2026 10:03</t>
  </si>
  <si>
    <t>31/08/2026 12:13</t>
  </si>
  <si>
    <t>31/08/2026 13:58</t>
  </si>
  <si>
    <t>31/08/2026 14:09</t>
  </si>
  <si>
    <t>31/08/2026 14:22</t>
  </si>
  <si>
    <t>31/08/2026 14:37</t>
  </si>
  <si>
    <t>13/08/2026 15:13</t>
  </si>
  <si>
    <t>21/08/2026 14:29</t>
  </si>
  <si>
    <t>11/08/2026 07:51</t>
  </si>
  <si>
    <t>11/08/2026 09:52</t>
  </si>
  <si>
    <t>11/08/2026 11:22</t>
  </si>
  <si>
    <t>11/08/2026 11:24</t>
  </si>
  <si>
    <t>11/08/2026 11:31</t>
  </si>
  <si>
    <t>12/08/2026 16:34</t>
  </si>
  <si>
    <t>13/08/2026 07:06</t>
  </si>
  <si>
    <t>13/08/2026 07:41</t>
  </si>
  <si>
    <t>13/08/2026 07:44</t>
  </si>
  <si>
    <t>12/08/2026 15:30</t>
  </si>
  <si>
    <t>12/08/2026 15:50</t>
  </si>
  <si>
    <t>13/08/2026 08:26</t>
  </si>
  <si>
    <t>04/08/2026 16:42</t>
  </si>
  <si>
    <t>04/08/2026 16:44</t>
  </si>
  <si>
    <t>04/08/2026 16:48</t>
  </si>
  <si>
    <t>05/08/2026 10:56</t>
  </si>
  <si>
    <t>04/08/2026 09:07</t>
  </si>
  <si>
    <t>05/08/2026 10:08</t>
  </si>
  <si>
    <t>05/08/2026 09:00</t>
  </si>
  <si>
    <t>05/08/2026 08:15</t>
  </si>
  <si>
    <t>06/08/2026 09:04</t>
  </si>
  <si>
    <t>18/08/2026 10:57</t>
  </si>
  <si>
    <t>18/08/2026 11:21</t>
  </si>
  <si>
    <t>18/08/2026 10:34</t>
  </si>
  <si>
    <t>18/08/2026 10:32</t>
  </si>
  <si>
    <t>18/08/2026 11:53</t>
  </si>
  <si>
    <t>18/08/2026 12:04</t>
  </si>
  <si>
    <t>18/08/2026 12:07</t>
  </si>
  <si>
    <t>18/08/2026 11:33</t>
  </si>
  <si>
    <t>14/08/2026 14:37</t>
  </si>
  <si>
    <t>14/08/2026 15:01</t>
  </si>
  <si>
    <t>14/08/2026 14:56</t>
  </si>
  <si>
    <t>14/08/2026 14:58</t>
  </si>
  <si>
    <t>14/08/2026 14:50</t>
  </si>
  <si>
    <t>19/08/2026 08:06</t>
  </si>
  <si>
    <t>19/08/2026 07:02</t>
  </si>
  <si>
    <t>19/08/2026 07:04</t>
  </si>
  <si>
    <t>19/08/2026 07:15</t>
  </si>
  <si>
    <t>19/08/2026 07:16</t>
  </si>
  <si>
    <t>19/08/2026 09:22</t>
  </si>
  <si>
    <t>19/08/2026 09:23</t>
  </si>
  <si>
    <t>19/08/2026 09:40</t>
  </si>
  <si>
    <t>19/08/2026 10:11</t>
  </si>
  <si>
    <t>19/08/2026 10:47</t>
  </si>
  <si>
    <t>19/08/2026 09:44</t>
  </si>
  <si>
    <t>19/08/2026 09:54</t>
  </si>
  <si>
    <t>19/08/2026 10:44</t>
  </si>
  <si>
    <t>19/08/2026 10:53</t>
  </si>
  <si>
    <t>18/08/2026 14:43</t>
  </si>
  <si>
    <t>21/08/2026 09:51</t>
  </si>
  <si>
    <t>20/08/2026 16:47</t>
  </si>
  <si>
    <t>20/08/2026 16:45</t>
  </si>
  <si>
    <t>21/08/2026 08:57</t>
  </si>
  <si>
    <t>21/08/2026 11:24</t>
  </si>
  <si>
    <t>21/08/2026 14:08</t>
  </si>
  <si>
    <t>21/08/2026 12:13</t>
  </si>
  <si>
    <t>21/08/2026 14:31</t>
  </si>
  <si>
    <t>22/08/2026 12:41</t>
  </si>
  <si>
    <t>20/08/2026 09:59</t>
  </si>
  <si>
    <t>20/08/2026 07:40</t>
  </si>
  <si>
    <t>20/08/2026 07:15</t>
  </si>
  <si>
    <t>20/08/2026 10:30</t>
  </si>
  <si>
    <t>19/08/2026 16:36</t>
  </si>
  <si>
    <t>03/08/2026 18:07</t>
  </si>
  <si>
    <t>04/08/2026 08:21</t>
  </si>
  <si>
    <t>03/08/2026 08:35</t>
  </si>
  <si>
    <t>04/08/2026 12:02</t>
  </si>
  <si>
    <t>04/08/2026 15:07</t>
  </si>
  <si>
    <t>04/08/2026 16:37</t>
  </si>
  <si>
    <t>03/08/2026 11:37</t>
  </si>
  <si>
    <t>05/08/2026 15:22</t>
  </si>
  <si>
    <t>06/08/2026 14:43</t>
  </si>
  <si>
    <t>06/08/2026 15:14</t>
  </si>
  <si>
    <t>06/08/2026 14:16</t>
  </si>
  <si>
    <t>06/08/2026 15:23</t>
  </si>
  <si>
    <t>06/08/2026 15:28</t>
  </si>
  <si>
    <t>06/08/2026 15:39</t>
  </si>
  <si>
    <t>10/08/2026 10:07</t>
  </si>
  <si>
    <t>10/08/2026 10:17</t>
  </si>
  <si>
    <t>10/08/2026 10:09</t>
  </si>
  <si>
    <t>10/08/2026 11:40</t>
  </si>
  <si>
    <t>05/08/2026 17:34</t>
  </si>
  <si>
    <t>05/08/2026 16:18</t>
  </si>
  <si>
    <t>05/08/2026 17:14</t>
  </si>
  <si>
    <t>05/08/2026 17:18</t>
  </si>
  <si>
    <t>06/08/2026 10:05</t>
  </si>
  <si>
    <t>14/08/2026 11:38</t>
  </si>
  <si>
    <t>14/08/2026 10:12</t>
  </si>
  <si>
    <t>14/08/2026 13:51</t>
  </si>
  <si>
    <t>18/08/2026 09:55</t>
  </si>
  <si>
    <t>18/08/2026 09:58</t>
  </si>
  <si>
    <t>11/08/2026 10:44</t>
  </si>
  <si>
    <t>11/08/2026 14:13</t>
  </si>
  <si>
    <t>11/08/2026 15:16</t>
  </si>
  <si>
    <t>11/08/2026 15:49</t>
  </si>
  <si>
    <t>11/08/2026 16:09</t>
  </si>
  <si>
    <t>12/08/2026 08:03</t>
  </si>
  <si>
    <t>12/08/2026 09:19</t>
  </si>
  <si>
    <t>12/08/2026 09:40</t>
  </si>
  <si>
    <t>12/08/2026 09:52</t>
  </si>
  <si>
    <t>12/08/2026 09:00</t>
  </si>
  <si>
    <t>12/08/2026 10:00</t>
  </si>
  <si>
    <t>12/08/2026 11:12</t>
  </si>
  <si>
    <t>10/08/2026 16:55</t>
  </si>
  <si>
    <t>13/08/2026 11:54</t>
  </si>
  <si>
    <t>12/08/2026 15:47</t>
  </si>
  <si>
    <t>13/08/2026 16:18</t>
  </si>
  <si>
    <t>13/08/2026 16:35</t>
  </si>
  <si>
    <t>14/08/2026 09:29</t>
  </si>
  <si>
    <t>14/08/2026 09:01</t>
  </si>
  <si>
    <t>13/08/2026 11:06</t>
  </si>
  <si>
    <t>13/08/2026 11:23</t>
  </si>
  <si>
    <t>13/08/2026 10:51</t>
  </si>
  <si>
    <t>13/08/2026 14:35</t>
  </si>
  <si>
    <t>13/08/2026 15:44</t>
  </si>
  <si>
    <t>13/08/2026 15:51</t>
  </si>
  <si>
    <t>13/08/2026 14:53</t>
  </si>
  <si>
    <t>14/08/2026 10:18</t>
  </si>
  <si>
    <t>14/08/2026 10:34</t>
  </si>
  <si>
    <t>14/08/2026 11:06</t>
  </si>
  <si>
    <t>14/08/2026 15:26</t>
  </si>
  <si>
    <t>14/08/2026 15:28</t>
  </si>
  <si>
    <t>14/08/2026 15:49</t>
  </si>
  <si>
    <t>14/08/2026 15:58</t>
  </si>
  <si>
    <t>14/08/2026 16:37</t>
  </si>
  <si>
    <t>19/08/2026 11:53</t>
  </si>
  <si>
    <t>19/08/2026 13:55</t>
  </si>
  <si>
    <t>19/08/2026 15:31</t>
  </si>
  <si>
    <t>24/08/2026 14:28</t>
  </si>
  <si>
    <t>24/08/2026 15:25</t>
  </si>
  <si>
    <t>21/08/2026 10:02</t>
  </si>
  <si>
    <t>21/08/2026 10:00</t>
  </si>
  <si>
    <t>21/08/2026 10:05</t>
  </si>
  <si>
    <t>20/08/2026 14:50</t>
  </si>
  <si>
    <t>24/08/2026 09:25</t>
  </si>
  <si>
    <t>24/08/2026 09:31</t>
  </si>
  <si>
    <t>24/08/2026 09:32</t>
  </si>
  <si>
    <t>25/08/2026 15:02</t>
  </si>
  <si>
    <t>25/08/2026 15:01</t>
  </si>
  <si>
    <t>24/08/2026 14:58</t>
  </si>
  <si>
    <t>24/08/2026 14:55</t>
  </si>
  <si>
    <t>25/08/2026 07:31</t>
  </si>
  <si>
    <t>24/08/2026 16:51</t>
  </si>
  <si>
    <t>25/08/2026 07:23</t>
  </si>
  <si>
    <t>25/08/2026 07:10</t>
  </si>
  <si>
    <t>24/08/2026 16:53</t>
  </si>
  <si>
    <t>24/08/2026 16:38</t>
  </si>
  <si>
    <t>24/08/2026 16:23</t>
  </si>
  <si>
    <t>20/08/2026 15:31</t>
  </si>
  <si>
    <t>20/08/2026 15:49</t>
  </si>
  <si>
    <t>21/08/2026 11:13</t>
  </si>
  <si>
    <t>24/08/2026 09:50</t>
  </si>
  <si>
    <t>24/08/2026 10:43</t>
  </si>
  <si>
    <t>24/08/2026 11:51</t>
  </si>
  <si>
    <t>24/08/2026 09:21</t>
  </si>
  <si>
    <t>24/08/2026 16:22</t>
  </si>
  <si>
    <t>24/08/2026 14:52</t>
  </si>
  <si>
    <t>24/08/2026 09:36</t>
  </si>
  <si>
    <t>24/08/2026 09:57</t>
  </si>
  <si>
    <t>25/08/2026 10:01</t>
  </si>
  <si>
    <t>25/08/2026 10:50</t>
  </si>
  <si>
    <t>25/08/2026 08:47</t>
  </si>
  <si>
    <t>25/08/2026 09:05</t>
  </si>
  <si>
    <t>26/08/2026 10:30</t>
  </si>
  <si>
    <t>26/08/2026 15:14</t>
  </si>
  <si>
    <t>26/08/2026 07:54</t>
  </si>
  <si>
    <t>25/08/2026 17:59</t>
  </si>
  <si>
    <t>26/08/2026 07:16</t>
  </si>
  <si>
    <t>26/08/2026 07:27</t>
  </si>
  <si>
    <t>21/08/2026 15:06</t>
  </si>
  <si>
    <t>21/08/2026 16:11</t>
  </si>
  <si>
    <t>21/08/2026 16:13</t>
  </si>
  <si>
    <t>27/08/2026 09:41</t>
  </si>
  <si>
    <t>27/08/2026 09:53</t>
  </si>
  <si>
    <t>26/08/2026 08:21</t>
  </si>
  <si>
    <t>26/08/2026 09:26</t>
  </si>
  <si>
    <t>26/08/2026 10:51</t>
  </si>
  <si>
    <t>26/08/2026 15:37</t>
  </si>
  <si>
    <t>26/08/2026 15:44</t>
  </si>
  <si>
    <t>26/08/2026 16:56</t>
  </si>
  <si>
    <t>26/08/2026 10:23</t>
  </si>
  <si>
    <t>26/08/2026 11:58</t>
  </si>
  <si>
    <t>25/08/2026 15:45</t>
  </si>
  <si>
    <t>25/08/2026 15:29</t>
  </si>
  <si>
    <t>25/08/2026 14:21</t>
  </si>
  <si>
    <t>25/08/2026 15:41</t>
  </si>
  <si>
    <t>27/08/2026 08:01</t>
  </si>
  <si>
    <t>27/08/2026 17:05</t>
  </si>
  <si>
    <t>28/08/2026 12:19</t>
  </si>
  <si>
    <t>28/08/2026 12:02</t>
  </si>
  <si>
    <t>27/08/2026 10:51</t>
  </si>
  <si>
    <t>28/08/2026 10:04</t>
  </si>
  <si>
    <t>28/08/2026 10:32</t>
  </si>
  <si>
    <t>28/08/2026 15:20</t>
  </si>
  <si>
    <t>28/08/2026 15:24</t>
  </si>
  <si>
    <t>28/08/2026 14:17</t>
  </si>
  <si>
    <t>27/08/2026 14:16</t>
  </si>
  <si>
    <t>27/08/2026 14:20</t>
  </si>
  <si>
    <t>28/08/2026 07:57</t>
  </si>
  <si>
    <t>27/08/2026 11:06</t>
  </si>
  <si>
    <t>27/08/2026 11:46</t>
  </si>
  <si>
    <t>27/08/2026 09:26</t>
  </si>
  <si>
    <t>27/08/2026 09:36</t>
  </si>
  <si>
    <t>27/08/2026 09:33</t>
  </si>
  <si>
    <t>28/08/2026 08:40</t>
  </si>
  <si>
    <t>28/08/2026 08:28</t>
  </si>
  <si>
    <t>27/08/2026 15:11</t>
  </si>
  <si>
    <t>27/08/2026 15:26</t>
  </si>
  <si>
    <t>27/08/2026 11:09</t>
  </si>
  <si>
    <t>27/08/2026 11:15</t>
  </si>
  <si>
    <t>27/08/2026 14:42</t>
  </si>
  <si>
    <t>27/08/2026 12:02</t>
  </si>
  <si>
    <t>27/08/2026 15:56</t>
  </si>
  <si>
    <t>27/08/2026 16:00</t>
  </si>
  <si>
    <t>29/08/2026 12:18</t>
  </si>
  <si>
    <t>31/08/2026 06:42</t>
  </si>
  <si>
    <t>28/08/2026 10:05</t>
  </si>
  <si>
    <t>28/08/2026 15:47</t>
  </si>
  <si>
    <t>28/08/2026 15:44</t>
  </si>
  <si>
    <t>28/08/2026 15:45</t>
  </si>
  <si>
    <t>28/08/2026 16:26</t>
  </si>
  <si>
    <t>28/08/2026 16:16</t>
  </si>
  <si>
    <t>31/08/2026 07:30</t>
  </si>
  <si>
    <t>31/08/2026 07:47</t>
  </si>
  <si>
    <t>31/08/2026 10:31</t>
  </si>
  <si>
    <t>31/08/2026 10:49</t>
  </si>
  <si>
    <t>31/08/2026 10:52</t>
  </si>
  <si>
    <t>31/08/2026 10:57</t>
  </si>
  <si>
    <t>31/08/2026 08:42</t>
  </si>
  <si>
    <t>31/08/2026 08:14</t>
  </si>
  <si>
    <t>31/08/2026 08:09</t>
  </si>
  <si>
    <t>31/08/2026 08:25</t>
  </si>
  <si>
    <t>31/08/2026 09:21</t>
  </si>
  <si>
    <t>31/08/2026 09:44</t>
  </si>
  <si>
    <t>31/08/2026 09:47</t>
  </si>
  <si>
    <t>31/08/2026 10:08</t>
  </si>
  <si>
    <t>31/08/2026 09:18</t>
  </si>
  <si>
    <t>31/08/2026 11:10</t>
  </si>
  <si>
    <t>31/08/2026 11:32</t>
  </si>
  <si>
    <t>31/08/2026 14:40</t>
  </si>
  <si>
    <t>31/08/2026 12:00</t>
  </si>
  <si>
    <t>31/08/2026 12:03</t>
  </si>
  <si>
    <t>31/08/2026 12:05</t>
  </si>
  <si>
    <t>31/08/2026 12:25</t>
  </si>
  <si>
    <t>31/08/2026 12:01</t>
  </si>
  <si>
    <t>31/08/2026 12:14</t>
  </si>
  <si>
    <t>31/08/2026 14:01</t>
  </si>
  <si>
    <t>31/08/2026 14:38</t>
  </si>
  <si>
    <t>31/08/2026 15:06</t>
  </si>
  <si>
    <t>CONVOCATORIAS_PUBLICAS_2025</t>
  </si>
  <si>
    <t>CONVS_PUB_ABREV_2025</t>
  </si>
  <si>
    <t>CONVS_PUB_ABREV_2021</t>
  </si>
  <si>
    <t>CONVS_PUB_ABREV_2023</t>
  </si>
  <si>
    <t>CONVOCATORIAS_PUBLICAS_2024</t>
  </si>
  <si>
    <t>CONV_PUBLICA_008_2025</t>
  </si>
  <si>
    <t>CONV_PUB_ABREV_004_2025</t>
  </si>
  <si>
    <t>CONV_PUB_ABREV_018_2021</t>
  </si>
  <si>
    <t>CONV_PUB_ABREV_002_2025</t>
  </si>
  <si>
    <t>CONV_PUB_ABREV_019_2023</t>
  </si>
  <si>
    <t>CONV_PUB_ABREV_011_2023</t>
  </si>
  <si>
    <t>CONV_PUB_ABREV_013_2023</t>
  </si>
  <si>
    <t>CONV_PUBLICA_010_2024</t>
  </si>
  <si>
    <t>CONV_PUB_ABREV_018_2023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</si>
</sst>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HYPERLINK("https://gesdoc.uis.edu.co/share/page/folder-details?nodeRef=workspace://SpacesStore/1f4165c6-77d6-4771-a937-82e0ddce8255","0021_2026000283_7837")</f>
      </c>
      <c r="C13" s="12" t="s">
        <v>24</v>
      </c>
      <c r="D13" s="13" t="s">
        <v>438</v>
      </c>
      <c r="E13" s="12" t="s">
        <v>494</v>
      </c>
      <c r="F13" s="12" t="s">
        <v>495</v>
      </c>
      <c r="G13" s="12" t="s">
        <v>509</v>
      </c>
      <c r="H13" s="12" t="s">
        <v>1006</v>
      </c>
      <c r="I13" s="12" t="s">
        <v>25</v>
      </c>
      <c r="J13" s="12" t="s">
        <v>25</v>
      </c>
    </row>
    <row customHeight="1" ht="33" r="14">
      <c r="B14" s="12">
        <f>HYPERLINK("https://gesdoc.uis.edu.co/share/page/folder-details?nodeRef=workspace://SpacesStore/0adc5a4a-40f2-44b0-9931-4e1631d67098","Grupo_03_DC_077")</f>
      </c>
      <c r="C14" s="12" t="s">
        <v>25</v>
      </c>
      <c r="D14" s="13" t="s">
        <v>439</v>
      </c>
      <c r="E14" s="12" t="s">
        <v>494</v>
      </c>
      <c r="F14" s="12" t="s">
        <v>496</v>
      </c>
      <c r="G14" s="12" t="s">
        <v>510</v>
      </c>
      <c r="H14" s="12" t="s">
        <v>510</v>
      </c>
      <c r="I14" s="12" t="s">
        <v>1255</v>
      </c>
      <c r="J14" s="12" t="s">
        <v>1260</v>
      </c>
    </row>
    <row customHeight="1" ht="33" r="15">
      <c r="B15" s="12">
        <f>HYPERLINK("https://gesdoc.uis.edu.co/share/page/folder-details?nodeRef=workspace://SpacesStore/8e49d5d8-24f9-49cb-8f0f-7bacaa7a2ae6","0374_2026000027_4516")</f>
      </c>
      <c r="C15" s="12" t="s">
        <v>26</v>
      </c>
      <c r="D15" s="13" t="s">
        <v>439</v>
      </c>
      <c r="E15" s="12" t="s">
        <v>494</v>
      </c>
      <c r="F15" s="12" t="s">
        <v>497</v>
      </c>
      <c r="G15" s="12" t="s">
        <v>511</v>
      </c>
      <c r="H15" s="12" t="s">
        <v>1007</v>
      </c>
      <c r="I15" s="12" t="s">
        <v>25</v>
      </c>
      <c r="J15" s="12" t="s">
        <v>25</v>
      </c>
    </row>
    <row customHeight="1" ht="33" r="16">
      <c r="B16" s="12">
        <f>HYPERLINK("https://gesdoc.uis.edu.co/share/page/folder-details?nodeRef=workspace://SpacesStore/7b723880-a9ac-4f09-8c2e-ac6dda26ee7f","0019_2026000096_1464")</f>
      </c>
      <c r="C16" s="12" t="s">
        <v>27</v>
      </c>
      <c r="D16" s="13" t="s">
        <v>440</v>
      </c>
      <c r="E16" s="12" t="s">
        <v>494</v>
      </c>
      <c r="F16" s="12" t="s">
        <v>498</v>
      </c>
      <c r="G16" s="12" t="s">
        <v>512</v>
      </c>
      <c r="H16" s="12" t="s">
        <v>1007</v>
      </c>
      <c r="I16" s="12" t="s">
        <v>25</v>
      </c>
      <c r="J16" s="12" t="s">
        <v>25</v>
      </c>
    </row>
    <row customHeight="1" ht="33" r="17">
      <c r="B17" s="12">
        <f>HYPERLINK("https://gesdoc.uis.edu.co/share/page/folder-details?nodeRef=workspace://SpacesStore/d5409138-19cb-49af-8d14-6a9f13991be9","0298_2025000211_3160_EV002")</f>
      </c>
      <c r="C17" s="12" t="s">
        <v>28</v>
      </c>
      <c r="D17" s="13" t="s">
        <v>440</v>
      </c>
      <c r="E17" s="12" t="s">
        <v>494</v>
      </c>
      <c r="F17" s="12" t="s">
        <v>499</v>
      </c>
      <c r="G17" s="12" t="s">
        <v>513</v>
      </c>
      <c r="H17" s="12" t="s">
        <v>513</v>
      </c>
      <c r="I17" s="12" t="s">
        <v>1256</v>
      </c>
      <c r="J17" s="12" t="s">
        <v>1261</v>
      </c>
    </row>
    <row customHeight="1" ht="33" r="18">
      <c r="B18" s="12">
        <f>HYPERLINK("https://gesdoc.uis.edu.co/share/page/folder-details?nodeRef=workspace://SpacesStore/4f8ce7cb-0155-40aa-93cc-0b108cbf7f51","0019_2026000089_7087")</f>
      </c>
      <c r="C18" s="12" t="s">
        <v>29</v>
      </c>
      <c r="D18" s="13" t="s">
        <v>441</v>
      </c>
      <c r="E18" s="12" t="s">
        <v>494</v>
      </c>
      <c r="F18" s="12" t="s">
        <v>498</v>
      </c>
      <c r="G18" s="12" t="s">
        <v>514</v>
      </c>
      <c r="H18" s="12" t="s">
        <v>514</v>
      </c>
      <c r="I18" s="12" t="s">
        <v>25</v>
      </c>
      <c r="J18" s="12" t="s">
        <v>25</v>
      </c>
    </row>
    <row customHeight="1" ht="33" r="19">
      <c r="B19" s="12">
        <f>HYPERLINK("https://gesdoc.uis.edu.co/share/page/folder-details?nodeRef=workspace://SpacesStore/29373edc-272f-4b83-ad4e-d713b73cd376","0018_2026002296_9398")</f>
      </c>
      <c r="C19" s="12" t="s">
        <v>30</v>
      </c>
      <c r="D19" s="13" t="s">
        <v>442</v>
      </c>
      <c r="E19" s="12" t="s">
        <v>494</v>
      </c>
      <c r="F19" s="12" t="s">
        <v>500</v>
      </c>
      <c r="G19" s="12" t="s">
        <v>515</v>
      </c>
      <c r="H19" s="12" t="s">
        <v>1008</v>
      </c>
      <c r="I19" s="12" t="s">
        <v>25</v>
      </c>
      <c r="J19" s="12" t="s">
        <v>25</v>
      </c>
    </row>
    <row customHeight="1" ht="33" r="20">
      <c r="B20" s="12">
        <f>HYPERLINK("https://gesdoc.uis.edu.co/share/page/folder-details?nodeRef=workspace://SpacesStore/8c2cf920-f6e7-4d50-af60-24bf0eb27a56","0018_2026002336_1454")</f>
      </c>
      <c r="C20" s="12" t="s">
        <v>31</v>
      </c>
      <c r="D20" s="13" t="s">
        <v>443</v>
      </c>
      <c r="E20" s="12" t="s">
        <v>494</v>
      </c>
      <c r="F20" s="12" t="s">
        <v>500</v>
      </c>
      <c r="G20" s="12" t="s">
        <v>516</v>
      </c>
      <c r="H20" s="12" t="s">
        <v>1009</v>
      </c>
      <c r="I20" s="12" t="s">
        <v>25</v>
      </c>
      <c r="J20" s="12" t="s">
        <v>25</v>
      </c>
    </row>
    <row customHeight="1" ht="33" r="21">
      <c r="B21" s="12">
        <f>HYPERLINK("https://gesdoc.uis.edu.co/share/page/folder-details?nodeRef=workspace://SpacesStore/d4a61e2f-2a07-4efb-9061-3fa2f435184b","0020_2026000263_9198")</f>
      </c>
      <c r="C21" s="12" t="s">
        <v>32</v>
      </c>
      <c r="D21" s="13" t="s">
        <v>444</v>
      </c>
      <c r="E21" s="12" t="s">
        <v>494</v>
      </c>
      <c r="F21" s="12" t="s">
        <v>495</v>
      </c>
      <c r="G21" s="12" t="s">
        <v>517</v>
      </c>
      <c r="H21" s="12" t="s">
        <v>1010</v>
      </c>
      <c r="I21" s="12" t="s">
        <v>25</v>
      </c>
      <c r="J21" s="12" t="s">
        <v>25</v>
      </c>
    </row>
    <row customHeight="1" ht="33" r="22">
      <c r="B22" s="12">
        <f>HYPERLINK("https://gesdoc.uis.edu.co/share/page/folder-details?nodeRef=workspace://SpacesStore/f376a969-020a-4514-a0fc-0c71396ecf3b","Grupo_01_DC_078")</f>
      </c>
      <c r="C22" s="12" t="s">
        <v>25</v>
      </c>
      <c r="D22" s="13" t="s">
        <v>439</v>
      </c>
      <c r="E22" s="12" t="s">
        <v>494</v>
      </c>
      <c r="F22" s="12" t="s">
        <v>496</v>
      </c>
      <c r="G22" s="12" t="s">
        <v>510</v>
      </c>
      <c r="H22" s="12" t="s">
        <v>510</v>
      </c>
      <c r="I22" s="12" t="s">
        <v>1255</v>
      </c>
      <c r="J22" s="12" t="s">
        <v>1260</v>
      </c>
    </row>
    <row customHeight="1" ht="33" r="23">
      <c r="B23" s="12">
        <f>HYPERLINK("https://gesdoc.uis.edu.co/share/page/folder-details?nodeRef=workspace://SpacesStore/d6a64205-8d61-458c-8c7f-d1e80b03c2bb","0234_2026011031_7837")</f>
      </c>
      <c r="C23" s="12" t="s">
        <v>33</v>
      </c>
      <c r="D23" s="13" t="s">
        <v>438</v>
      </c>
      <c r="E23" s="12" t="s">
        <v>494</v>
      </c>
      <c r="F23" s="12" t="s">
        <v>501</v>
      </c>
      <c r="G23" s="12" t="s">
        <v>518</v>
      </c>
      <c r="H23" s="12" t="s">
        <v>518</v>
      </c>
      <c r="I23" s="12" t="s">
        <v>25</v>
      </c>
      <c r="J23" s="12" t="s">
        <v>25</v>
      </c>
    </row>
    <row customHeight="1" ht="33" r="24">
      <c r="B24" s="12">
        <f>HYPERLINK("https://gesdoc.uis.edu.co/share/page/folder-details?nodeRef=workspace://SpacesStore/0166d64f-a574-4d2a-8842-a784daa3c2f5","0018_2026002243_3140")</f>
      </c>
      <c r="C24" s="12" t="s">
        <v>34</v>
      </c>
      <c r="D24" s="13" t="s">
        <v>445</v>
      </c>
      <c r="E24" s="12" t="s">
        <v>494</v>
      </c>
      <c r="F24" s="12" t="s">
        <v>500</v>
      </c>
      <c r="G24" s="12" t="s">
        <v>519</v>
      </c>
      <c r="H24" s="12" t="s">
        <v>519</v>
      </c>
      <c r="I24" s="12" t="s">
        <v>25</v>
      </c>
      <c r="J24" s="12" t="s">
        <v>25</v>
      </c>
    </row>
    <row customHeight="1" ht="33" r="25">
      <c r="B25" s="12">
        <f>HYPERLINK("https://gesdoc.uis.edu.co/share/page/folder-details?nodeRef=workspace://SpacesStore/e701c1d4-66bd-4e6c-87f5-c94f75411103","0020_2026000267_9129")</f>
      </c>
      <c r="C25" s="12" t="s">
        <v>35</v>
      </c>
      <c r="D25" s="13" t="s">
        <v>446</v>
      </c>
      <c r="E25" s="12" t="s">
        <v>494</v>
      </c>
      <c r="F25" s="12" t="s">
        <v>495</v>
      </c>
      <c r="G25" s="12" t="s">
        <v>520</v>
      </c>
      <c r="H25" s="12" t="s">
        <v>520</v>
      </c>
      <c r="I25" s="12" t="s">
        <v>25</v>
      </c>
      <c r="J25" s="12" t="s">
        <v>25</v>
      </c>
    </row>
    <row customHeight="1" ht="33" r="26">
      <c r="B26" s="12">
        <f>HYPERLINK("https://gesdoc.uis.edu.co/share/page/folder-details?nodeRef=workspace://SpacesStore/bbbc05e4-e734-4e14-837c-5662bf3b3437","0020_2026000268_6150")</f>
      </c>
      <c r="C26" s="12" t="s">
        <v>36</v>
      </c>
      <c r="D26" s="13" t="s">
        <v>446</v>
      </c>
      <c r="E26" s="12" t="s">
        <v>494</v>
      </c>
      <c r="F26" s="12" t="s">
        <v>495</v>
      </c>
      <c r="G26" s="12" t="s">
        <v>521</v>
      </c>
      <c r="H26" s="12" t="s">
        <v>521</v>
      </c>
      <c r="I26" s="12" t="s">
        <v>25</v>
      </c>
      <c r="J26" s="12" t="s">
        <v>25</v>
      </c>
    </row>
    <row customHeight="1" ht="33" r="27">
      <c r="B27" s="12">
        <f>HYPERLINK("https://gesdoc.uis.edu.co/share/page/folder-details?nodeRef=workspace://SpacesStore/3228e1ef-c093-4951-9cb7-938f3e0cb37a","0298_2025000143_3160_EV069")</f>
      </c>
      <c r="C27" s="12" t="s">
        <v>37</v>
      </c>
      <c r="D27" s="13" t="s">
        <v>440</v>
      </c>
      <c r="E27" s="12" t="s">
        <v>494</v>
      </c>
      <c r="F27" s="12" t="s">
        <v>499</v>
      </c>
      <c r="G27" s="12" t="s">
        <v>522</v>
      </c>
      <c r="H27" s="12" t="s">
        <v>522</v>
      </c>
      <c r="I27" s="12" t="s">
        <v>1257</v>
      </c>
      <c r="J27" s="12" t="s">
        <v>1262</v>
      </c>
    </row>
    <row customHeight="1" ht="33" r="28">
      <c r="B28" s="12">
        <f>HYPERLINK("https://gesdoc.uis.edu.co/share/page/folder-details?nodeRef=workspace://SpacesStore/95139019-66b7-4771-bb33-d38ee07ddb36","0018_2026002371_7077")</f>
      </c>
      <c r="C28" s="12" t="s">
        <v>38</v>
      </c>
      <c r="D28" s="13" t="s">
        <v>447</v>
      </c>
      <c r="E28" s="12" t="s">
        <v>494</v>
      </c>
      <c r="F28" s="12" t="s">
        <v>500</v>
      </c>
      <c r="G28" s="12" t="s">
        <v>523</v>
      </c>
      <c r="H28" s="12" t="s">
        <v>523</v>
      </c>
      <c r="I28" s="12" t="s">
        <v>25</v>
      </c>
      <c r="J28" s="12" t="s">
        <v>25</v>
      </c>
    </row>
    <row customHeight="1" ht="33" r="29">
      <c r="B29" s="12">
        <f>HYPERLINK("https://gesdoc.uis.edu.co/share/page/folder-details?nodeRef=workspace://SpacesStore/7a7a4c00-6eee-463f-a445-ada83e1ff46e","0018_2026002369_7077")</f>
      </c>
      <c r="C29" s="12" t="s">
        <v>39</v>
      </c>
      <c r="D29" s="13" t="s">
        <v>447</v>
      </c>
      <c r="E29" s="12" t="s">
        <v>494</v>
      </c>
      <c r="F29" s="12" t="s">
        <v>500</v>
      </c>
      <c r="G29" s="12" t="s">
        <v>523</v>
      </c>
      <c r="H29" s="12" t="s">
        <v>523</v>
      </c>
      <c r="I29" s="12" t="s">
        <v>25</v>
      </c>
      <c r="J29" s="12" t="s">
        <v>25</v>
      </c>
    </row>
    <row customHeight="1" ht="33" r="30">
      <c r="B30" s="12">
        <f>HYPERLINK("https://gesdoc.uis.edu.co/share/page/folder-details?nodeRef=workspace://SpacesStore/5010b450-de32-4c76-854e-bbf02a582f2e","0018_2026002350_7837")</f>
      </c>
      <c r="C30" s="12" t="s">
        <v>40</v>
      </c>
      <c r="D30" s="13" t="s">
        <v>438</v>
      </c>
      <c r="E30" s="12" t="s">
        <v>494</v>
      </c>
      <c r="F30" s="12" t="s">
        <v>500</v>
      </c>
      <c r="G30" s="12" t="s">
        <v>524</v>
      </c>
      <c r="H30" s="12" t="s">
        <v>1011</v>
      </c>
      <c r="I30" s="12" t="s">
        <v>25</v>
      </c>
      <c r="J30" s="12" t="s">
        <v>25</v>
      </c>
    </row>
    <row customHeight="1" ht="33" r="31">
      <c r="B31" s="12">
        <f>HYPERLINK("https://gesdoc.uis.edu.co/share/page/folder-details?nodeRef=workspace://SpacesStore/611b3a85-2234-456d-b225-c143afe9c4ba","0018_2026002332_7820")</f>
      </c>
      <c r="C31" s="12" t="s">
        <v>41</v>
      </c>
      <c r="D31" s="13" t="s">
        <v>448</v>
      </c>
      <c r="E31" s="12" t="s">
        <v>494</v>
      </c>
      <c r="F31" s="12" t="s">
        <v>500</v>
      </c>
      <c r="G31" s="12" t="s">
        <v>525</v>
      </c>
      <c r="H31" s="12" t="s">
        <v>1012</v>
      </c>
      <c r="I31" s="12" t="s">
        <v>25</v>
      </c>
      <c r="J31" s="12" t="s">
        <v>25</v>
      </c>
    </row>
    <row customHeight="1" ht="33" r="32">
      <c r="B32" s="12">
        <f>HYPERLINK("https://gesdoc.uis.edu.co/share/page/folder-details?nodeRef=workspace://SpacesStore/ed19645c-e3ff-4819-a94e-1040f91c02dd","0298_2026000256_3160_EV047")</f>
      </c>
      <c r="C32" s="12" t="s">
        <v>42</v>
      </c>
      <c r="D32" s="13" t="s">
        <v>440</v>
      </c>
      <c r="E32" s="12" t="s">
        <v>494</v>
      </c>
      <c r="F32" s="12" t="s">
        <v>499</v>
      </c>
      <c r="G32" s="12" t="s">
        <v>526</v>
      </c>
      <c r="H32" s="12" t="s">
        <v>1013</v>
      </c>
      <c r="I32" s="12" t="s">
        <v>1256</v>
      </c>
      <c r="J32" s="12" t="s">
        <v>1263</v>
      </c>
    </row>
    <row customHeight="1" ht="33" r="33">
      <c r="B33" s="12">
        <f>HYPERLINK("https://gesdoc.uis.edu.co/share/page/folder-details?nodeRef=workspace://SpacesStore/e3f933f0-828d-4ca9-aa90-4254fc0a4161","0298_2026000260_3160_EV050")</f>
      </c>
      <c r="C33" s="12" t="s">
        <v>43</v>
      </c>
      <c r="D33" s="13" t="s">
        <v>440</v>
      </c>
      <c r="E33" s="12" t="s">
        <v>494</v>
      </c>
      <c r="F33" s="12" t="s">
        <v>499</v>
      </c>
      <c r="G33" s="12" t="s">
        <v>527</v>
      </c>
      <c r="H33" s="12" t="s">
        <v>1014</v>
      </c>
      <c r="I33" s="12" t="s">
        <v>1256</v>
      </c>
      <c r="J33" s="12" t="s">
        <v>1263</v>
      </c>
    </row>
    <row customHeight="1" ht="33" r="34">
      <c r="B34" s="12">
        <f>HYPERLINK("https://gesdoc.uis.edu.co/share/page/folder-details?nodeRef=workspace://SpacesStore/c091d666-a0e7-4e8e-9031-f6d385bdfdce","0298_2025000284_7061_EV004")</f>
      </c>
      <c r="C34" s="12" t="s">
        <v>44</v>
      </c>
      <c r="D34" s="13" t="s">
        <v>440</v>
      </c>
      <c r="E34" s="12" t="s">
        <v>494</v>
      </c>
      <c r="F34" s="12" t="s">
        <v>499</v>
      </c>
      <c r="G34" s="12" t="s">
        <v>528</v>
      </c>
      <c r="H34" s="12" t="s">
        <v>528</v>
      </c>
      <c r="I34" s="12" t="s">
        <v>1256</v>
      </c>
      <c r="J34" s="12" t="s">
        <v>1261</v>
      </c>
    </row>
    <row customHeight="1" ht="33" r="35">
      <c r="B35" s="12">
        <f>HYPERLINK("https://gesdoc.uis.edu.co/share/page/folder-details?nodeRef=workspace://SpacesStore/d6dfff0f-1920-412e-9b7a-3d366a675423","0018_2026002347_7966")</f>
      </c>
      <c r="C35" s="12" t="s">
        <v>45</v>
      </c>
      <c r="D35" s="13" t="s">
        <v>449</v>
      </c>
      <c r="E35" s="12" t="s">
        <v>494</v>
      </c>
      <c r="F35" s="12" t="s">
        <v>500</v>
      </c>
      <c r="G35" s="12" t="s">
        <v>529</v>
      </c>
      <c r="H35" s="12" t="s">
        <v>1015</v>
      </c>
      <c r="I35" s="12" t="s">
        <v>25</v>
      </c>
      <c r="J35" s="12" t="s">
        <v>25</v>
      </c>
    </row>
    <row customHeight="1" ht="33" r="36">
      <c r="B36" s="12">
        <f>HYPERLINK("https://gesdoc.uis.edu.co/share/page/folder-details?nodeRef=workspace://SpacesStore/24539d74-d221-4c7b-aa58-2862cff6cae4","0018_2026002366_7966")</f>
      </c>
      <c r="C36" s="12" t="s">
        <v>46</v>
      </c>
      <c r="D36" s="13" t="s">
        <v>449</v>
      </c>
      <c r="E36" s="12" t="s">
        <v>494</v>
      </c>
      <c r="F36" s="12" t="s">
        <v>500</v>
      </c>
      <c r="G36" s="12" t="s">
        <v>529</v>
      </c>
      <c r="H36" s="12" t="s">
        <v>1015</v>
      </c>
      <c r="I36" s="12" t="s">
        <v>25</v>
      </c>
      <c r="J36" s="12" t="s">
        <v>25</v>
      </c>
    </row>
    <row customHeight="1" ht="33" r="37">
      <c r="B37" s="12">
        <f>HYPERLINK("https://gesdoc.uis.edu.co/share/page/folder-details?nodeRef=workspace://SpacesStore/435b6fb6-219a-4e13-9822-c06219f52306","0018_2026002360_7966")</f>
      </c>
      <c r="C37" s="12" t="s">
        <v>47</v>
      </c>
      <c r="D37" s="13" t="s">
        <v>449</v>
      </c>
      <c r="E37" s="12" t="s">
        <v>494</v>
      </c>
      <c r="F37" s="12" t="s">
        <v>500</v>
      </c>
      <c r="G37" s="12" t="s">
        <v>529</v>
      </c>
      <c r="H37" s="12" t="s">
        <v>1015</v>
      </c>
      <c r="I37" s="12" t="s">
        <v>25</v>
      </c>
      <c r="J37" s="12" t="s">
        <v>25</v>
      </c>
    </row>
    <row customHeight="1" ht="33" r="38">
      <c r="B38" s="12">
        <f>HYPERLINK("https://gesdoc.uis.edu.co/share/page/folder-details?nodeRef=workspace://SpacesStore/617e7fbb-9066-467a-8191-2ace13c01fcf","0018_2026002374_8319")</f>
      </c>
      <c r="C38" s="12" t="s">
        <v>48</v>
      </c>
      <c r="D38" s="13" t="s">
        <v>450</v>
      </c>
      <c r="E38" s="12" t="s">
        <v>494</v>
      </c>
      <c r="F38" s="12" t="s">
        <v>500</v>
      </c>
      <c r="G38" s="12" t="s">
        <v>530</v>
      </c>
      <c r="H38" s="12" t="s">
        <v>1016</v>
      </c>
      <c r="I38" s="12" t="s">
        <v>25</v>
      </c>
      <c r="J38" s="12" t="s">
        <v>25</v>
      </c>
    </row>
    <row customHeight="1" ht="33" r="39">
      <c r="B39" s="12">
        <f>HYPERLINK("https://gesdoc.uis.edu.co/share/page/folder-details?nodeRef=workspace://SpacesStore/933bbbff-b5a3-417f-9638-7b645c21ed03","0018_2026002404_7730")</f>
      </c>
      <c r="C39" s="12" t="s">
        <v>49</v>
      </c>
      <c r="D39" s="13" t="s">
        <v>442</v>
      </c>
      <c r="E39" s="12" t="s">
        <v>494</v>
      </c>
      <c r="F39" s="12" t="s">
        <v>500</v>
      </c>
      <c r="G39" s="12" t="s">
        <v>531</v>
      </c>
      <c r="H39" s="12" t="s">
        <v>531</v>
      </c>
      <c r="I39" s="12" t="s">
        <v>25</v>
      </c>
      <c r="J39" s="12" t="s">
        <v>25</v>
      </c>
    </row>
    <row customHeight="1" ht="33" r="40">
      <c r="B40" s="12">
        <f>HYPERLINK("https://gesdoc.uis.edu.co/share/page/folder-details?nodeRef=workspace://SpacesStore/be37d32f-7171-46bd-bc3f-2c5f7ddc59b5","0018_2026002394_9398")</f>
      </c>
      <c r="C40" s="12" t="s">
        <v>50</v>
      </c>
      <c r="D40" s="13" t="s">
        <v>442</v>
      </c>
      <c r="E40" s="12" t="s">
        <v>494</v>
      </c>
      <c r="F40" s="12" t="s">
        <v>500</v>
      </c>
      <c r="G40" s="12" t="s">
        <v>532</v>
      </c>
      <c r="H40" s="12" t="s">
        <v>1017</v>
      </c>
      <c r="I40" s="12" t="s">
        <v>25</v>
      </c>
      <c r="J40" s="12" t="s">
        <v>25</v>
      </c>
    </row>
    <row customHeight="1" ht="33" r="41">
      <c r="B41" s="12">
        <f>HYPERLINK("https://gesdoc.uis.edu.co/share/page/folder-details?nodeRef=workspace://SpacesStore/22065472-5054-401e-8259-fd1441e7370c","000000000000000000")</f>
      </c>
      <c r="C41" s="12" t="s">
        <v>25</v>
      </c>
      <c r="D41" s="13" t="s">
        <v>451</v>
      </c>
      <c r="E41" s="12" t="s">
        <v>494</v>
      </c>
      <c r="F41" s="12" t="s">
        <v>495</v>
      </c>
      <c r="G41" s="12" t="s">
        <v>533</v>
      </c>
      <c r="H41" s="12" t="s">
        <v>1018</v>
      </c>
      <c r="I41" s="12" t="s">
        <v>25</v>
      </c>
      <c r="J41" s="12" t="s">
        <v>25</v>
      </c>
    </row>
    <row customHeight="1" ht="33" r="42">
      <c r="B42" s="12">
        <f>HYPERLINK("https://gesdoc.uis.edu.co/share/page/folder-details?nodeRef=workspace://SpacesStore/00c5052a-da4c-4c9f-a2a5-67f945b80e08","0020_2026000214_7098")</f>
      </c>
      <c r="C42" s="12" t="s">
        <v>51</v>
      </c>
      <c r="D42" s="13" t="s">
        <v>451</v>
      </c>
      <c r="E42" s="12" t="s">
        <v>494</v>
      </c>
      <c r="F42" s="12" t="s">
        <v>495</v>
      </c>
      <c r="G42" s="12" t="s">
        <v>534</v>
      </c>
      <c r="H42" s="12" t="s">
        <v>1019</v>
      </c>
      <c r="I42" s="12" t="s">
        <v>25</v>
      </c>
      <c r="J42" s="12" t="s">
        <v>25</v>
      </c>
    </row>
    <row customHeight="1" ht="33" r="43">
      <c r="B43" s="12">
        <f>HYPERLINK("https://gesdoc.uis.edu.co/share/page/folder-details?nodeRef=workspace://SpacesStore/eb73e19e-2364-44a6-8a25-78198b38e2ad","0018_2026002238_7916")</f>
      </c>
      <c r="C43" s="12" t="s">
        <v>52</v>
      </c>
      <c r="D43" s="13" t="s">
        <v>448</v>
      </c>
      <c r="E43" s="12" t="s">
        <v>494</v>
      </c>
      <c r="F43" s="12" t="s">
        <v>500</v>
      </c>
      <c r="G43" s="12" t="s">
        <v>535</v>
      </c>
      <c r="H43" s="12" t="s">
        <v>1020</v>
      </c>
      <c r="I43" s="12" t="s">
        <v>25</v>
      </c>
      <c r="J43" s="12" t="s">
        <v>25</v>
      </c>
    </row>
    <row customHeight="1" ht="33" r="44">
      <c r="B44" s="12">
        <f>HYPERLINK("https://gesdoc.uis.edu.co/share/page/folder-details?nodeRef=workspace://SpacesStore/ecc3e30f-db9c-41f1-88ae-f12fa0722caa","0018_2026002143_7233")</f>
      </c>
      <c r="C44" s="12" t="s">
        <v>53</v>
      </c>
      <c r="D44" s="13" t="s">
        <v>452</v>
      </c>
      <c r="E44" s="12" t="s">
        <v>494</v>
      </c>
      <c r="F44" s="12" t="s">
        <v>500</v>
      </c>
      <c r="G44" s="12" t="s">
        <v>536</v>
      </c>
      <c r="H44" s="12" t="s">
        <v>1021</v>
      </c>
      <c r="I44" s="12" t="s">
        <v>25</v>
      </c>
      <c r="J44" s="12" t="s">
        <v>25</v>
      </c>
    </row>
    <row customHeight="1" ht="33" r="45">
      <c r="B45" s="12">
        <f>HYPERLINK("https://gesdoc.uis.edu.co/share/page/folder-details?nodeRef=workspace://SpacesStore/9ddbf151-4b21-4094-b324-77a977bb1088","0018_2026002264_3180")</f>
      </c>
      <c r="C45" s="12" t="s">
        <v>54</v>
      </c>
      <c r="D45" s="13" t="s">
        <v>453</v>
      </c>
      <c r="E45" s="12" t="s">
        <v>494</v>
      </c>
      <c r="F45" s="12" t="s">
        <v>500</v>
      </c>
      <c r="G45" s="12" t="s">
        <v>537</v>
      </c>
      <c r="H45" s="12" t="s">
        <v>537</v>
      </c>
      <c r="I45" s="12" t="s">
        <v>25</v>
      </c>
      <c r="J45" s="12" t="s">
        <v>25</v>
      </c>
    </row>
    <row customHeight="1" ht="33" r="46">
      <c r="B46" s="12">
        <f>HYPERLINK("https://gesdoc.uis.edu.co/share/page/folder-details?nodeRef=workspace://SpacesStore/0bce71c6-8cc3-40aa-affb-4af269bbf84e","0298_2025000289_7061_EV008")</f>
      </c>
      <c r="C46" s="12" t="s">
        <v>55</v>
      </c>
      <c r="D46" s="13" t="s">
        <v>440</v>
      </c>
      <c r="E46" s="12" t="s">
        <v>494</v>
      </c>
      <c r="F46" s="12" t="s">
        <v>499</v>
      </c>
      <c r="G46" s="12" t="s">
        <v>538</v>
      </c>
      <c r="H46" s="12" t="s">
        <v>1022</v>
      </c>
      <c r="I46" s="12" t="s">
        <v>1258</v>
      </c>
      <c r="J46" s="12" t="s">
        <v>1264</v>
      </c>
    </row>
    <row customHeight="1" ht="33" r="47">
      <c r="B47" s="12">
        <f>HYPERLINK("https://gesdoc.uis.edu.co/share/page/folder-details?nodeRef=workspace://SpacesStore/66c3e407-29a0-4ad9-b2b0-21cf29dd7216","0298_2025000369_1468_EV009")</f>
      </c>
      <c r="C47" s="12" t="s">
        <v>56</v>
      </c>
      <c r="D47" s="13" t="s">
        <v>440</v>
      </c>
      <c r="E47" s="12" t="s">
        <v>494</v>
      </c>
      <c r="F47" s="12" t="s">
        <v>499</v>
      </c>
      <c r="G47" s="12" t="s">
        <v>539</v>
      </c>
      <c r="H47" s="12" t="s">
        <v>539</v>
      </c>
      <c r="I47" s="12" t="s">
        <v>1258</v>
      </c>
      <c r="J47" s="12" t="s">
        <v>1264</v>
      </c>
    </row>
    <row customHeight="1" ht="33" r="48">
      <c r="B48" s="12">
        <f>HYPERLINK("https://gesdoc.uis.edu.co/share/page/folder-details?nodeRef=workspace://SpacesStore/4208d02a-e838-4ff8-a5ef-3a6de7efd258","0298_2025000389_1468_EV010")</f>
      </c>
      <c r="C48" s="12" t="s">
        <v>57</v>
      </c>
      <c r="D48" s="13" t="s">
        <v>440</v>
      </c>
      <c r="E48" s="12" t="s">
        <v>494</v>
      </c>
      <c r="F48" s="12" t="s">
        <v>499</v>
      </c>
      <c r="G48" s="12" t="s">
        <v>540</v>
      </c>
      <c r="H48" s="12" t="s">
        <v>540</v>
      </c>
      <c r="I48" s="12" t="s">
        <v>1258</v>
      </c>
      <c r="J48" s="12" t="s">
        <v>1264</v>
      </c>
    </row>
    <row customHeight="1" ht="33" r="49">
      <c r="B49" s="12">
        <f>HYPERLINK("https://gesdoc.uis.edu.co/share/page/folder-details?nodeRef=workspace://SpacesStore/42607f44-a41f-43db-b4ab-b0447c9ddf4d","0298_2025000400_1468_EV011")</f>
      </c>
      <c r="C49" s="12" t="s">
        <v>58</v>
      </c>
      <c r="D49" s="13" t="s">
        <v>440</v>
      </c>
      <c r="E49" s="12" t="s">
        <v>494</v>
      </c>
      <c r="F49" s="12" t="s">
        <v>499</v>
      </c>
      <c r="G49" s="12" t="s">
        <v>541</v>
      </c>
      <c r="H49" s="12" t="s">
        <v>541</v>
      </c>
      <c r="I49" s="12" t="s">
        <v>1258</v>
      </c>
      <c r="J49" s="12" t="s">
        <v>1264</v>
      </c>
    </row>
    <row customHeight="1" ht="33" r="50">
      <c r="B50" s="12">
        <f>HYPERLINK("https://gesdoc.uis.edu.co/share/page/folder-details?nodeRef=workspace://SpacesStore/cd969216-17a3-4ad9-9aed-2ccb3bf2c34a","0020_2026000215_7025")</f>
      </c>
      <c r="C50" s="12" t="s">
        <v>59</v>
      </c>
      <c r="D50" s="13" t="s">
        <v>446</v>
      </c>
      <c r="E50" s="12" t="s">
        <v>494</v>
      </c>
      <c r="F50" s="12" t="s">
        <v>495</v>
      </c>
      <c r="G50" s="12" t="s">
        <v>542</v>
      </c>
      <c r="H50" s="12" t="s">
        <v>542</v>
      </c>
      <c r="I50" s="12" t="s">
        <v>25</v>
      </c>
      <c r="J50" s="12" t="s">
        <v>25</v>
      </c>
    </row>
    <row customHeight="1" ht="33" r="51">
      <c r="B51" s="12">
        <f>HYPERLINK("https://gesdoc.uis.edu.co/share/page/folder-details?nodeRef=workspace://SpacesStore/44f3e792-84a2-482d-ab40-2c619685dda6","0018_2026002282_7068")</f>
      </c>
      <c r="C51" s="12" t="s">
        <v>60</v>
      </c>
      <c r="D51" s="13" t="s">
        <v>448</v>
      </c>
      <c r="E51" s="12" t="s">
        <v>494</v>
      </c>
      <c r="F51" s="12" t="s">
        <v>500</v>
      </c>
      <c r="G51" s="12" t="s">
        <v>543</v>
      </c>
      <c r="H51" s="12" t="s">
        <v>1023</v>
      </c>
      <c r="I51" s="12" t="s">
        <v>25</v>
      </c>
      <c r="J51" s="12" t="s">
        <v>25</v>
      </c>
    </row>
    <row customHeight="1" ht="33" r="52">
      <c r="B52" s="12">
        <f>HYPERLINK("https://gesdoc.uis.edu.co/share/page/folder-details?nodeRef=workspace://SpacesStore/5c01c73e-97f2-4110-af2f-896d77bb47d2","0020_2026000252_9708")</f>
      </c>
      <c r="C52" s="12" t="s">
        <v>61</v>
      </c>
      <c r="D52" s="13" t="s">
        <v>454</v>
      </c>
      <c r="E52" s="12" t="s">
        <v>494</v>
      </c>
      <c r="F52" s="12" t="s">
        <v>495</v>
      </c>
      <c r="G52" s="12" t="s">
        <v>544</v>
      </c>
      <c r="H52" s="12" t="s">
        <v>544</v>
      </c>
      <c r="I52" s="12" t="s">
        <v>25</v>
      </c>
      <c r="J52" s="12" t="s">
        <v>25</v>
      </c>
    </row>
    <row customHeight="1" ht="33" r="53">
      <c r="B53" s="12">
        <f>HYPERLINK("https://gesdoc.uis.edu.co/share/page/folder-details?nodeRef=workspace://SpacesStore/49e90dea-c579-48f7-b05e-243465ec287c","0018_2026002283_7801")</f>
      </c>
      <c r="C53" s="12" t="s">
        <v>62</v>
      </c>
      <c r="D53" s="13" t="s">
        <v>455</v>
      </c>
      <c r="E53" s="12" t="s">
        <v>494</v>
      </c>
      <c r="F53" s="12" t="s">
        <v>500</v>
      </c>
      <c r="G53" s="12" t="s">
        <v>545</v>
      </c>
      <c r="H53" s="12" t="s">
        <v>1024</v>
      </c>
      <c r="I53" s="12" t="s">
        <v>25</v>
      </c>
      <c r="J53" s="12" t="s">
        <v>25</v>
      </c>
    </row>
    <row customHeight="1" ht="33" r="54">
      <c r="B54" s="12">
        <f>HYPERLINK("https://gesdoc.uis.edu.co/share/page/folder-details?nodeRef=workspace://SpacesStore/436da44e-eefe-4849-bf47-cb2ed5eb69a4","0019_2026000088_3160")</f>
      </c>
      <c r="C54" s="12" t="s">
        <v>63</v>
      </c>
      <c r="D54" s="13" t="s">
        <v>440</v>
      </c>
      <c r="E54" s="12" t="s">
        <v>494</v>
      </c>
      <c r="F54" s="12" t="s">
        <v>498</v>
      </c>
      <c r="G54" s="12" t="s">
        <v>546</v>
      </c>
      <c r="H54" s="12" t="s">
        <v>1025</v>
      </c>
      <c r="I54" s="12" t="s">
        <v>25</v>
      </c>
      <c r="J54" s="12" t="s">
        <v>25</v>
      </c>
    </row>
    <row customHeight="1" ht="33" r="55">
      <c r="B55" s="12">
        <f>HYPERLINK("https://gesdoc.uis.edu.co/share/page/folder-details?nodeRef=workspace://SpacesStore/89f68fd4-e932-4fd6-8615-add40a477dcb","0018_2026002087_7233")</f>
      </c>
      <c r="C55" s="12" t="s">
        <v>64</v>
      </c>
      <c r="D55" s="13" t="s">
        <v>452</v>
      </c>
      <c r="E55" s="12" t="s">
        <v>494</v>
      </c>
      <c r="F55" s="12" t="s">
        <v>500</v>
      </c>
      <c r="G55" s="12" t="s">
        <v>547</v>
      </c>
      <c r="H55" s="12" t="s">
        <v>547</v>
      </c>
      <c r="I55" s="12" t="s">
        <v>25</v>
      </c>
      <c r="J55" s="12" t="s">
        <v>25</v>
      </c>
    </row>
    <row customHeight="1" ht="33" r="56">
      <c r="B56" s="12">
        <f>HYPERLINK("https://gesdoc.uis.edu.co/share/page/folder-details?nodeRef=workspace://SpacesStore/c7a7406f-43c5-40ff-ae68-33c4f1e9c8b9","0234_2026010994 _7837")</f>
      </c>
      <c r="C56" s="12" t="s">
        <v>65</v>
      </c>
      <c r="D56" s="13" t="s">
        <v>438</v>
      </c>
      <c r="E56" s="12" t="s">
        <v>494</v>
      </c>
      <c r="F56" s="12" t="s">
        <v>501</v>
      </c>
      <c r="G56" s="12" t="s">
        <v>548</v>
      </c>
      <c r="H56" s="12" t="s">
        <v>548</v>
      </c>
      <c r="I56" s="12" t="s">
        <v>25</v>
      </c>
      <c r="J56" s="12" t="s">
        <v>25</v>
      </c>
    </row>
    <row customHeight="1" ht="33" r="57">
      <c r="B57" s="12">
        <f>HYPERLINK("https://gesdoc.uis.edu.co/share/page/folder-details?nodeRef=workspace://SpacesStore/e65d9b2d-bac6-4b2f-8300-effc96ddd6c7","0298_2025000106_7062_EV068")</f>
      </c>
      <c r="C57" s="12" t="s">
        <v>66</v>
      </c>
      <c r="D57" s="13" t="s">
        <v>440</v>
      </c>
      <c r="E57" s="12" t="s">
        <v>494</v>
      </c>
      <c r="F57" s="12" t="s">
        <v>499</v>
      </c>
      <c r="G57" s="12" t="s">
        <v>549</v>
      </c>
      <c r="H57" s="12" t="s">
        <v>1026</v>
      </c>
      <c r="I57" s="12" t="s">
        <v>1257</v>
      </c>
      <c r="J57" s="12" t="s">
        <v>1262</v>
      </c>
    </row>
    <row customHeight="1" ht="33" r="58">
      <c r="B58" s="12">
        <f>HYPERLINK("https://gesdoc.uis.edu.co/share/page/folder-details?nodeRef=workspace://SpacesStore/87122cd8-1dc3-4f0f-8009-e961c9af73cb","0018_2026002321_7077")</f>
      </c>
      <c r="C58" s="12" t="s">
        <v>67</v>
      </c>
      <c r="D58" s="13" t="s">
        <v>447</v>
      </c>
      <c r="E58" s="12" t="s">
        <v>494</v>
      </c>
      <c r="F58" s="12" t="s">
        <v>500</v>
      </c>
      <c r="G58" s="12" t="s">
        <v>550</v>
      </c>
      <c r="H58" s="12" t="s">
        <v>550</v>
      </c>
      <c r="I58" s="12" t="s">
        <v>25</v>
      </c>
      <c r="J58" s="12" t="s">
        <v>25</v>
      </c>
    </row>
    <row customHeight="1" ht="33" r="59">
      <c r="B59" s="12">
        <f>HYPERLINK("https://gesdoc.uis.edu.co/share/page/folder-details?nodeRef=workspace://SpacesStore/6569876b-1fc1-4819-8308-0d4168cf84eb","0018_2026002237_7916")</f>
      </c>
      <c r="C59" s="12" t="s">
        <v>68</v>
      </c>
      <c r="D59" s="13" t="s">
        <v>448</v>
      </c>
      <c r="E59" s="12" t="s">
        <v>494</v>
      </c>
      <c r="F59" s="12" t="s">
        <v>500</v>
      </c>
      <c r="G59" s="12" t="s">
        <v>551</v>
      </c>
      <c r="H59" s="12" t="s">
        <v>1027</v>
      </c>
      <c r="I59" s="12" t="s">
        <v>25</v>
      </c>
      <c r="J59" s="12" t="s">
        <v>25</v>
      </c>
    </row>
    <row customHeight="1" ht="33" r="60">
      <c r="B60" s="12">
        <f>HYPERLINK("https://gesdoc.uis.edu.co/share/page/folder-details?nodeRef=workspace://SpacesStore/d883f622-402d-4e35-bf37-53079b08ec09","0234_2026011225_2240")</f>
      </c>
      <c r="C60" s="12" t="s">
        <v>69</v>
      </c>
      <c r="D60" s="13" t="s">
        <v>438</v>
      </c>
      <c r="E60" s="12" t="s">
        <v>494</v>
      </c>
      <c r="F60" s="12" t="s">
        <v>501</v>
      </c>
      <c r="G60" s="12" t="s">
        <v>552</v>
      </c>
      <c r="H60" s="12" t="s">
        <v>552</v>
      </c>
      <c r="I60" s="12" t="s">
        <v>25</v>
      </c>
      <c r="J60" s="12" t="s">
        <v>25</v>
      </c>
    </row>
    <row customHeight="1" ht="33" r="61">
      <c r="B61" s="12">
        <f>HYPERLINK("https://gesdoc.uis.edu.co/share/page/folder-details?nodeRef=workspace://SpacesStore/0dc77472-d29a-44c5-9d56-a831cc95b01e","0018_2026002420_7068")</f>
      </c>
      <c r="C61" s="12" t="s">
        <v>70</v>
      </c>
      <c r="D61" s="13" t="s">
        <v>448</v>
      </c>
      <c r="E61" s="12" t="s">
        <v>494</v>
      </c>
      <c r="F61" s="12" t="s">
        <v>500</v>
      </c>
      <c r="G61" s="12" t="s">
        <v>553</v>
      </c>
      <c r="H61" s="12" t="s">
        <v>1028</v>
      </c>
      <c r="I61" s="12" t="s">
        <v>25</v>
      </c>
      <c r="J61" s="12" t="s">
        <v>25</v>
      </c>
    </row>
    <row customHeight="1" ht="33" r="62">
      <c r="B62" s="12">
        <f>HYPERLINK("https://gesdoc.uis.edu.co/share/page/folder-details?nodeRef=workspace://SpacesStore/14fb212c-7aca-4648-9974-3be1bc1a4a7b","0234_2026011220_2240")</f>
      </c>
      <c r="C62" s="12" t="s">
        <v>71</v>
      </c>
      <c r="D62" s="13" t="s">
        <v>438</v>
      </c>
      <c r="E62" s="12" t="s">
        <v>494</v>
      </c>
      <c r="F62" s="12" t="s">
        <v>501</v>
      </c>
      <c r="G62" s="12" t="s">
        <v>554</v>
      </c>
      <c r="H62" s="12" t="s">
        <v>1029</v>
      </c>
      <c r="I62" s="12" t="s">
        <v>25</v>
      </c>
      <c r="J62" s="12" t="s">
        <v>25</v>
      </c>
    </row>
    <row customHeight="1" ht="33" r="63">
      <c r="B63" s="12">
        <f>HYPERLINK("https://gesdoc.uis.edu.co/share/page/folder-details?nodeRef=workspace://SpacesStore/ff6100b1-8f0f-4a77-8226-57e3b55c4572","0234_2026011221_2240")</f>
      </c>
      <c r="C63" s="12" t="s">
        <v>72</v>
      </c>
      <c r="D63" s="13" t="s">
        <v>438</v>
      </c>
      <c r="E63" s="12" t="s">
        <v>494</v>
      </c>
      <c r="F63" s="12" t="s">
        <v>501</v>
      </c>
      <c r="G63" s="12" t="s">
        <v>554</v>
      </c>
      <c r="H63" s="12" t="s">
        <v>1030</v>
      </c>
      <c r="I63" s="12" t="s">
        <v>25</v>
      </c>
      <c r="J63" s="12" t="s">
        <v>25</v>
      </c>
    </row>
    <row customHeight="1" ht="33" r="64">
      <c r="B64" s="12">
        <f>HYPERLINK("https://gesdoc.uis.edu.co/share/page/folder-details?nodeRef=workspace://SpacesStore/e1cd8ef9-07ae-4f96-96fc-688a93858cea","0018_2026002351_4512")</f>
      </c>
      <c r="C64" s="12" t="s">
        <v>73</v>
      </c>
      <c r="D64" s="13" t="s">
        <v>444</v>
      </c>
      <c r="E64" s="12" t="s">
        <v>494</v>
      </c>
      <c r="F64" s="12" t="s">
        <v>500</v>
      </c>
      <c r="G64" s="12" t="s">
        <v>555</v>
      </c>
      <c r="H64" s="12" t="s">
        <v>1031</v>
      </c>
      <c r="I64" s="12" t="s">
        <v>25</v>
      </c>
      <c r="J64" s="12" t="s">
        <v>25</v>
      </c>
    </row>
    <row customHeight="1" ht="33" r="65">
      <c r="B65" s="12">
        <f>HYPERLINK("https://gesdoc.uis.edu.co/share/page/folder-details?nodeRef=workspace://SpacesStore/4ec28012-dbd1-4d26-b886-ea3b4f2d37e0","0018_2026002439_9280")</f>
      </c>
      <c r="C65" s="12" t="s">
        <v>74</v>
      </c>
      <c r="D65" s="13" t="s">
        <v>456</v>
      </c>
      <c r="E65" s="12" t="s">
        <v>494</v>
      </c>
      <c r="F65" s="12" t="s">
        <v>500</v>
      </c>
      <c r="G65" s="12" t="s">
        <v>556</v>
      </c>
      <c r="H65" s="12" t="s">
        <v>1032</v>
      </c>
      <c r="I65" s="12" t="s">
        <v>25</v>
      </c>
      <c r="J65" s="12" t="s">
        <v>25</v>
      </c>
    </row>
    <row customHeight="1" ht="33" r="66">
      <c r="B66" s="12">
        <f>HYPERLINK("https://gesdoc.uis.edu.co/share/page/folder-details?nodeRef=workspace://SpacesStore/2a34ea38-0f31-4cf8-a462-d86655e4cc6d","0018_2026002425_9280")</f>
      </c>
      <c r="C66" s="12" t="s">
        <v>75</v>
      </c>
      <c r="D66" s="13" t="s">
        <v>456</v>
      </c>
      <c r="E66" s="12" t="s">
        <v>494</v>
      </c>
      <c r="F66" s="12" t="s">
        <v>500</v>
      </c>
      <c r="G66" s="12" t="s">
        <v>557</v>
      </c>
      <c r="H66" s="12" t="s">
        <v>1033</v>
      </c>
      <c r="I66" s="12" t="s">
        <v>25</v>
      </c>
      <c r="J66" s="12" t="s">
        <v>25</v>
      </c>
    </row>
    <row customHeight="1" ht="33" r="67">
      <c r="B67" s="12">
        <f>HYPERLINK("https://gesdoc.uis.edu.co/share/page/folder-details?nodeRef=workspace://SpacesStore/dedcdca7-1dde-46d5-9b87-1f723a9377b3","0020_202600275_7072")</f>
      </c>
      <c r="C67" s="12" t="s">
        <v>76</v>
      </c>
      <c r="D67" s="13" t="s">
        <v>457</v>
      </c>
      <c r="E67" s="12" t="s">
        <v>494</v>
      </c>
      <c r="F67" s="12" t="s">
        <v>495</v>
      </c>
      <c r="G67" s="12" t="s">
        <v>558</v>
      </c>
      <c r="H67" s="12" t="s">
        <v>1034</v>
      </c>
      <c r="I67" s="12" t="s">
        <v>25</v>
      </c>
      <c r="J67" s="12" t="s">
        <v>25</v>
      </c>
    </row>
    <row customHeight="1" ht="33" r="68">
      <c r="B68" s="12">
        <f>HYPERLINK("https://gesdoc.uis.edu.co/share/page/folder-details?nodeRef=workspace://SpacesStore/bb414a3a-f3a6-4a27-9a1b-d6120cce18a8","0020_2026000303_6150")</f>
      </c>
      <c r="C68" s="12" t="s">
        <v>77</v>
      </c>
      <c r="D68" s="13" t="s">
        <v>446</v>
      </c>
      <c r="E68" s="12" t="s">
        <v>494</v>
      </c>
      <c r="F68" s="12" t="s">
        <v>495</v>
      </c>
      <c r="G68" s="12" t="s">
        <v>559</v>
      </c>
      <c r="H68" s="12" t="s">
        <v>559</v>
      </c>
      <c r="I68" s="12" t="s">
        <v>25</v>
      </c>
      <c r="J68" s="12" t="s">
        <v>25</v>
      </c>
    </row>
    <row customHeight="1" ht="33" r="69">
      <c r="B69" s="12">
        <f>HYPERLINK("https://gesdoc.uis.edu.co/share/page/folder-details?nodeRef=workspace://SpacesStore/d20cf5fe-3787-4396-8b12-c4126f41ac5b","0018_2026002431_9398")</f>
      </c>
      <c r="C69" s="12" t="s">
        <v>78</v>
      </c>
      <c r="D69" s="13" t="s">
        <v>442</v>
      </c>
      <c r="E69" s="12" t="s">
        <v>494</v>
      </c>
      <c r="F69" s="12" t="s">
        <v>500</v>
      </c>
      <c r="G69" s="12" t="s">
        <v>560</v>
      </c>
      <c r="H69" s="12" t="s">
        <v>560</v>
      </c>
      <c r="I69" s="12" t="s">
        <v>25</v>
      </c>
      <c r="J69" s="12" t="s">
        <v>25</v>
      </c>
    </row>
    <row customHeight="1" ht="33" r="70">
      <c r="B70" s="12">
        <f>HYPERLINK("https://gesdoc.uis.edu.co/share/page/folder-details?nodeRef=workspace://SpacesStore/9aab503c-f99d-45de-9d5d-8d16f679437c","0450_2026000084_3140")</f>
      </c>
      <c r="C70" s="12" t="s">
        <v>79</v>
      </c>
      <c r="D70" s="13" t="s">
        <v>445</v>
      </c>
      <c r="E70" s="12" t="s">
        <v>494</v>
      </c>
      <c r="F70" s="12" t="s">
        <v>502</v>
      </c>
      <c r="G70" s="12" t="s">
        <v>561</v>
      </c>
      <c r="H70" s="12" t="s">
        <v>1035</v>
      </c>
      <c r="I70" s="12" t="s">
        <v>25</v>
      </c>
      <c r="J70" s="12" t="s">
        <v>25</v>
      </c>
    </row>
    <row customHeight="1" ht="33" r="71">
      <c r="B71" s="12">
        <f>HYPERLINK("https://gesdoc.uis.edu.co/share/page/folder-details?nodeRef=workspace://SpacesStore/b8b1741e-ea56-452f-ac17-f635cd4f620c","0018_2026002270_1454")</f>
      </c>
      <c r="C71" s="12" t="s">
        <v>80</v>
      </c>
      <c r="D71" s="13" t="s">
        <v>443</v>
      </c>
      <c r="E71" s="12" t="s">
        <v>494</v>
      </c>
      <c r="F71" s="12" t="s">
        <v>500</v>
      </c>
      <c r="G71" s="12" t="s">
        <v>562</v>
      </c>
      <c r="H71" s="12" t="s">
        <v>1036</v>
      </c>
      <c r="I71" s="12" t="s">
        <v>25</v>
      </c>
      <c r="J71" s="12" t="s">
        <v>25</v>
      </c>
    </row>
    <row customHeight="1" ht="33" r="72">
      <c r="B72" s="12">
        <f>HYPERLINK("https://gesdoc.uis.edu.co/share/page/folder-details?nodeRef=workspace://SpacesStore/b88dfa18-e795-47fd-8e89-3e35f5811c81","0298_2026000263_7047")</f>
      </c>
      <c r="C72" s="12" t="s">
        <v>81</v>
      </c>
      <c r="D72" s="13" t="s">
        <v>458</v>
      </c>
      <c r="E72" s="12" t="s">
        <v>494</v>
      </c>
      <c r="F72" s="12" t="s">
        <v>503</v>
      </c>
      <c r="G72" s="12" t="s">
        <v>563</v>
      </c>
      <c r="H72" s="12" t="s">
        <v>563</v>
      </c>
      <c r="I72" s="12" t="s">
        <v>25</v>
      </c>
      <c r="J72" s="12" t="s">
        <v>25</v>
      </c>
    </row>
    <row customHeight="1" ht="33" r="73">
      <c r="B73" s="12">
        <f>HYPERLINK("https://gesdoc.uis.edu.co/share/page/folder-details?nodeRef=workspace://SpacesStore/72f371f3-9645-4bfe-b791-a5f57c0b38e2","0018_2026002260_1454")</f>
      </c>
      <c r="C73" s="12" t="s">
        <v>82</v>
      </c>
      <c r="D73" s="13" t="s">
        <v>443</v>
      </c>
      <c r="E73" s="12" t="s">
        <v>494</v>
      </c>
      <c r="F73" s="12" t="s">
        <v>500</v>
      </c>
      <c r="G73" s="12" t="s">
        <v>564</v>
      </c>
      <c r="H73" s="12" t="s">
        <v>1037</v>
      </c>
      <c r="I73" s="12" t="s">
        <v>25</v>
      </c>
      <c r="J73" s="12" t="s">
        <v>25</v>
      </c>
    </row>
    <row customHeight="1" ht="33" r="74">
      <c r="B74" s="12">
        <f>HYPERLINK("https://gesdoc.uis.edu.co/share/page/folder-details?nodeRef=workspace://SpacesStore/c55e7052-b8f6-46e5-95a1-13e64b145f36","0018_2026002368_3140")</f>
      </c>
      <c r="C74" s="12" t="s">
        <v>83</v>
      </c>
      <c r="D74" s="13" t="s">
        <v>445</v>
      </c>
      <c r="E74" s="12" t="s">
        <v>494</v>
      </c>
      <c r="F74" s="12" t="s">
        <v>500</v>
      </c>
      <c r="G74" s="12" t="s">
        <v>565</v>
      </c>
      <c r="H74" s="12" t="s">
        <v>1038</v>
      </c>
      <c r="I74" s="12" t="s">
        <v>25</v>
      </c>
      <c r="J74" s="12" t="s">
        <v>25</v>
      </c>
    </row>
    <row customHeight="1" ht="33" r="75">
      <c r="B75" s="12">
        <f>HYPERLINK("https://gesdoc.uis.edu.co/share/page/folder-details?nodeRef=workspace://SpacesStore/273e7ff7-ee7b-4ced-9edb-b5ec0e5a2801","0018_2026002262_1454")</f>
      </c>
      <c r="C75" s="12" t="s">
        <v>84</v>
      </c>
      <c r="D75" s="13" t="s">
        <v>443</v>
      </c>
      <c r="E75" s="12" t="s">
        <v>494</v>
      </c>
      <c r="F75" s="12" t="s">
        <v>500</v>
      </c>
      <c r="G75" s="12" t="s">
        <v>566</v>
      </c>
      <c r="H75" s="12" t="s">
        <v>1039</v>
      </c>
      <c r="I75" s="12" t="s">
        <v>25</v>
      </c>
      <c r="J75" s="12" t="s">
        <v>25</v>
      </c>
    </row>
    <row customHeight="1" ht="33" r="76">
      <c r="B76" s="12">
        <f>HYPERLINK("https://gesdoc.uis.edu.co/share/page/folder-details?nodeRef=workspace://SpacesStore/61f5a66b-c470-4e11-9f00-5a79bd3b87e3","0270_2026000727_1468_EV016")</f>
      </c>
      <c r="C76" s="12" t="s">
        <v>85</v>
      </c>
      <c r="D76" s="13" t="s">
        <v>440</v>
      </c>
      <c r="E76" s="12" t="s">
        <v>494</v>
      </c>
      <c r="F76" s="12" t="s">
        <v>499</v>
      </c>
      <c r="G76" s="12" t="s">
        <v>567</v>
      </c>
      <c r="H76" s="12" t="s">
        <v>1040</v>
      </c>
      <c r="I76" s="12" t="s">
        <v>1258</v>
      </c>
      <c r="J76" s="12" t="s">
        <v>1265</v>
      </c>
    </row>
    <row customHeight="1" ht="33" r="77">
      <c r="B77" s="12">
        <f>HYPERLINK("https://gesdoc.uis.edu.co/share/page/folder-details?nodeRef=workspace://SpacesStore/09d623f8-43b5-4b97-bdb2-d1d5b73d97e3","0298_2026000248_3160_EV110")</f>
      </c>
      <c r="C77" s="12" t="s">
        <v>86</v>
      </c>
      <c r="D77" s="13" t="s">
        <v>440</v>
      </c>
      <c r="E77" s="12" t="s">
        <v>494</v>
      </c>
      <c r="F77" s="12" t="s">
        <v>499</v>
      </c>
      <c r="G77" s="12" t="s">
        <v>562</v>
      </c>
      <c r="H77" s="12" t="s">
        <v>1041</v>
      </c>
      <c r="I77" s="12" t="s">
        <v>1258</v>
      </c>
      <c r="J77" s="12" t="s">
        <v>1266</v>
      </c>
    </row>
    <row customHeight="1" ht="33" r="78">
      <c r="B78" s="12">
        <f>HYPERLINK("https://gesdoc.uis.edu.co/share/page/folder-details?nodeRef=workspace://SpacesStore/b436e258-f225-4bed-bf47-5c2a046e4212","0298_2026000249_3160_EV109")</f>
      </c>
      <c r="C78" s="12" t="s">
        <v>87</v>
      </c>
      <c r="D78" s="13" t="s">
        <v>440</v>
      </c>
      <c r="E78" s="12" t="s">
        <v>494</v>
      </c>
      <c r="F78" s="12" t="s">
        <v>499</v>
      </c>
      <c r="G78" s="12" t="s">
        <v>568</v>
      </c>
      <c r="H78" s="12" t="s">
        <v>1042</v>
      </c>
      <c r="I78" s="12" t="s">
        <v>1258</v>
      </c>
      <c r="J78" s="12" t="s">
        <v>1266</v>
      </c>
    </row>
    <row customHeight="1" ht="33" r="79">
      <c r="B79" s="12">
        <f>HYPERLINK("https://gesdoc.uis.edu.co/share/page/folder-details?nodeRef=workspace://SpacesStore/3a8c70dc-f1b1-4587-af0d-9c5cf87439d1","0298_2026000251_1468_EV112")</f>
      </c>
      <c r="C79" s="12" t="s">
        <v>88</v>
      </c>
      <c r="D79" s="13" t="s">
        <v>440</v>
      </c>
      <c r="E79" s="12" t="s">
        <v>494</v>
      </c>
      <c r="F79" s="12" t="s">
        <v>499</v>
      </c>
      <c r="G79" s="12" t="s">
        <v>569</v>
      </c>
      <c r="H79" s="12" t="s">
        <v>1043</v>
      </c>
      <c r="I79" s="12" t="s">
        <v>1258</v>
      </c>
      <c r="J79" s="12" t="s">
        <v>1266</v>
      </c>
    </row>
    <row customHeight="1" ht="33" r="80">
      <c r="B80" s="12">
        <f>HYPERLINK("https://gesdoc.uis.edu.co/share/page/folder-details?nodeRef=workspace://SpacesStore/ca3013b5-2fa3-4d3f-835f-af0ca1a7bbf3","0298_2026000252_3160_EV113")</f>
      </c>
      <c r="C80" s="12" t="s">
        <v>89</v>
      </c>
      <c r="D80" s="13" t="s">
        <v>440</v>
      </c>
      <c r="E80" s="12" t="s">
        <v>494</v>
      </c>
      <c r="F80" s="12" t="s">
        <v>499</v>
      </c>
      <c r="G80" s="12" t="s">
        <v>570</v>
      </c>
      <c r="H80" s="12" t="s">
        <v>1044</v>
      </c>
      <c r="I80" s="12" t="s">
        <v>1258</v>
      </c>
      <c r="J80" s="12" t="s">
        <v>1266</v>
      </c>
    </row>
    <row customHeight="1" ht="33" r="81">
      <c r="B81" s="12">
        <f>HYPERLINK("https://gesdoc.uis.edu.co/share/page/folder-details?nodeRef=workspace://SpacesStore/fc002a1c-621a-45ea-acb1-e7623487b5be","Grupo_03_DC_093_AXA")</f>
      </c>
      <c r="C81" s="12" t="s">
        <v>25</v>
      </c>
      <c r="D81" s="13" t="s">
        <v>439</v>
      </c>
      <c r="E81" s="12" t="s">
        <v>494</v>
      </c>
      <c r="F81" s="12" t="s">
        <v>496</v>
      </c>
      <c r="G81" s="12" t="s">
        <v>571</v>
      </c>
      <c r="H81" s="12" t="s">
        <v>571</v>
      </c>
      <c r="I81" s="12" t="s">
        <v>1259</v>
      </c>
      <c r="J81" s="12" t="s">
        <v>1267</v>
      </c>
    </row>
    <row customHeight="1" ht="33" r="82">
      <c r="B82" s="12">
        <f>HYPERLINK("https://gesdoc.uis.edu.co/share/page/folder-details?nodeRef=workspace://SpacesStore/1b4ea0ca-f0aa-4c17-9c24-7784775e9ab0","0018_2026000352_9769")</f>
      </c>
      <c r="C82" s="12" t="s">
        <v>90</v>
      </c>
      <c r="D82" s="13" t="s">
        <v>459</v>
      </c>
      <c r="E82" s="12" t="s">
        <v>494</v>
      </c>
      <c r="F82" s="12" t="s">
        <v>500</v>
      </c>
      <c r="G82" s="12" t="s">
        <v>572</v>
      </c>
      <c r="H82" s="12" t="s">
        <v>1045</v>
      </c>
      <c r="I82" s="12" t="s">
        <v>25</v>
      </c>
      <c r="J82" s="12" t="s">
        <v>25</v>
      </c>
    </row>
    <row customHeight="1" ht="33" r="83">
      <c r="B83" s="12">
        <f>HYPERLINK("https://gesdoc.uis.edu.co/share/page/folder-details?nodeRef=workspace://SpacesStore/48e7ba39-ed0c-4d3f-8045-388c644f1ca2","0018_2026000382_9769")</f>
      </c>
      <c r="C83" s="12" t="s">
        <v>91</v>
      </c>
      <c r="D83" s="13" t="s">
        <v>459</v>
      </c>
      <c r="E83" s="12" t="s">
        <v>494</v>
      </c>
      <c r="F83" s="12" t="s">
        <v>500</v>
      </c>
      <c r="G83" s="12" t="s">
        <v>573</v>
      </c>
      <c r="H83" s="12" t="s">
        <v>1046</v>
      </c>
      <c r="I83" s="12" t="s">
        <v>25</v>
      </c>
      <c r="J83" s="12" t="s">
        <v>25</v>
      </c>
    </row>
    <row customHeight="1" ht="33" r="84">
      <c r="B84" s="12">
        <f>HYPERLINK("https://gesdoc.uis.edu.co/share/page/folder-details?nodeRef=workspace://SpacesStore/33729c24-5d0a-4220-99c5-f5e5a534e5ea","0018_2026000852_9769")</f>
      </c>
      <c r="C84" s="12" t="s">
        <v>92</v>
      </c>
      <c r="D84" s="13" t="s">
        <v>459</v>
      </c>
      <c r="E84" s="12" t="s">
        <v>494</v>
      </c>
      <c r="F84" s="12" t="s">
        <v>500</v>
      </c>
      <c r="G84" s="12" t="s">
        <v>573</v>
      </c>
      <c r="H84" s="12" t="s">
        <v>1047</v>
      </c>
      <c r="I84" s="12" t="s">
        <v>25</v>
      </c>
      <c r="J84" s="12" t="s">
        <v>25</v>
      </c>
    </row>
    <row customHeight="1" ht="33" r="85">
      <c r="B85" s="12">
        <f>HYPERLINK("https://gesdoc.uis.edu.co/share/page/folder-details?nodeRef=workspace://SpacesStore/05482d9b-a7d9-4f1f-b4ca-26f30f059619","0018_2026002345_3140")</f>
      </c>
      <c r="C85" s="12" t="s">
        <v>93</v>
      </c>
      <c r="D85" s="13" t="s">
        <v>445</v>
      </c>
      <c r="E85" s="12" t="s">
        <v>494</v>
      </c>
      <c r="F85" s="12" t="s">
        <v>500</v>
      </c>
      <c r="G85" s="12" t="s">
        <v>574</v>
      </c>
      <c r="H85" s="12" t="s">
        <v>1048</v>
      </c>
      <c r="I85" s="12" t="s">
        <v>25</v>
      </c>
      <c r="J85" s="12" t="s">
        <v>25</v>
      </c>
    </row>
    <row customHeight="1" ht="33" r="86">
      <c r="B86" s="12">
        <f>HYPERLINK("https://gesdoc.uis.edu.co/share/page/folder-details?nodeRef=workspace://SpacesStore/f7381315-7724-410a-b59a-79b61a25ef69","2025000020_9701")</f>
      </c>
      <c r="C86" s="12" t="s">
        <v>25</v>
      </c>
      <c r="D86" s="13" t="s">
        <v>454</v>
      </c>
      <c r="E86" s="12" t="s">
        <v>494</v>
      </c>
      <c r="F86" s="12" t="s">
        <v>504</v>
      </c>
      <c r="G86" s="12" t="s">
        <v>575</v>
      </c>
      <c r="H86" s="12" t="s">
        <v>1049</v>
      </c>
      <c r="I86" s="12" t="s">
        <v>25</v>
      </c>
      <c r="J86" s="12" t="s">
        <v>25</v>
      </c>
    </row>
    <row customHeight="1" ht="33" r="87">
      <c r="B87" s="12">
        <f>HYPERLINK("https://gesdoc.uis.edu.co/share/page/folder-details?nodeRef=workspace://SpacesStore/cbce2513-c83d-4787-945d-590aadbf0d64","0018_2026002291_9769")</f>
      </c>
      <c r="C87" s="12" t="s">
        <v>94</v>
      </c>
      <c r="D87" s="13" t="s">
        <v>459</v>
      </c>
      <c r="E87" s="12" t="s">
        <v>494</v>
      </c>
      <c r="F87" s="12" t="s">
        <v>500</v>
      </c>
      <c r="G87" s="12" t="s">
        <v>576</v>
      </c>
      <c r="H87" s="12" t="s">
        <v>1050</v>
      </c>
      <c r="I87" s="12" t="s">
        <v>25</v>
      </c>
      <c r="J87" s="12" t="s">
        <v>25</v>
      </c>
    </row>
    <row customHeight="1" ht="33" r="88">
      <c r="B88" s="12">
        <f>HYPERLINK("https://gesdoc.uis.edu.co/share/page/folder-details?nodeRef=workspace://SpacesStore/bd30d776-8583-4599-84e4-b0ef64e5f94b","0019_2026000110_3160")</f>
      </c>
      <c r="C88" s="12" t="s">
        <v>95</v>
      </c>
      <c r="D88" s="13" t="s">
        <v>440</v>
      </c>
      <c r="E88" s="12" t="s">
        <v>494</v>
      </c>
      <c r="F88" s="12" t="s">
        <v>498</v>
      </c>
      <c r="G88" s="12" t="s">
        <v>577</v>
      </c>
      <c r="H88" s="12" t="s">
        <v>1051</v>
      </c>
      <c r="I88" s="12" t="s">
        <v>25</v>
      </c>
      <c r="J88" s="12" t="s">
        <v>25</v>
      </c>
    </row>
    <row customHeight="1" ht="33" r="89">
      <c r="B89" s="12">
        <f>HYPERLINK("https://gesdoc.uis.edu.co/share/page/folder-details?nodeRef=workspace://SpacesStore/3c33356c-b04d-4cdc-974d-189929d0db84","0018_2026002381_8319")</f>
      </c>
      <c r="C89" s="12" t="s">
        <v>96</v>
      </c>
      <c r="D89" s="13" t="s">
        <v>450</v>
      </c>
      <c r="E89" s="12" t="s">
        <v>494</v>
      </c>
      <c r="F89" s="12" t="s">
        <v>500</v>
      </c>
      <c r="G89" s="12" t="s">
        <v>578</v>
      </c>
      <c r="H89" s="12" t="s">
        <v>1052</v>
      </c>
      <c r="I89" s="12" t="s">
        <v>25</v>
      </c>
      <c r="J89" s="12" t="s">
        <v>25</v>
      </c>
    </row>
    <row customHeight="1" ht="33" r="90">
      <c r="B90" s="12">
        <f>HYPERLINK("https://gesdoc.uis.edu.co/share/page/folder-details?nodeRef=workspace://SpacesStore/4b197739-b258-48c4-b954-157dbd8c8ec4","0234_2026011362_2240")</f>
      </c>
      <c r="C90" s="12" t="s">
        <v>97</v>
      </c>
      <c r="D90" s="13" t="s">
        <v>438</v>
      </c>
      <c r="E90" s="12" t="s">
        <v>494</v>
      </c>
      <c r="F90" s="12" t="s">
        <v>501</v>
      </c>
      <c r="G90" s="12" t="s">
        <v>579</v>
      </c>
      <c r="H90" s="12" t="s">
        <v>579</v>
      </c>
      <c r="I90" s="12" t="s">
        <v>25</v>
      </c>
      <c r="J90" s="12" t="s">
        <v>25</v>
      </c>
    </row>
    <row customHeight="1" ht="33" r="91">
      <c r="B91" s="12">
        <f>HYPERLINK("https://gesdoc.uis.edu.co/share/page/folder-details?nodeRef=workspace://SpacesStore/e2609b9a-c39d-42d4-9866-aeab08c2473c","2025000023_9701_9703")</f>
      </c>
      <c r="C91" s="12" t="s">
        <v>25</v>
      </c>
      <c r="D91" s="13" t="s">
        <v>454</v>
      </c>
      <c r="E91" s="12" t="s">
        <v>494</v>
      </c>
      <c r="F91" s="12" t="s">
        <v>504</v>
      </c>
      <c r="G91" s="12" t="s">
        <v>580</v>
      </c>
      <c r="H91" s="12" t="s">
        <v>581</v>
      </c>
      <c r="I91" s="12" t="s">
        <v>25</v>
      </c>
      <c r="J91" s="12" t="s">
        <v>25</v>
      </c>
    </row>
    <row customHeight="1" ht="33" r="92">
      <c r="B92" s="12">
        <f>HYPERLINK("https://gesdoc.uis.edu.co/share/page/folder-details?nodeRef=workspace://SpacesStore/2867aad5-a59c-4a39-b454-dc1c58b098c0","2025000056_9701")</f>
      </c>
      <c r="C92" s="12" t="s">
        <v>25</v>
      </c>
      <c r="D92" s="13" t="s">
        <v>454</v>
      </c>
      <c r="E92" s="12" t="s">
        <v>494</v>
      </c>
      <c r="F92" s="12" t="s">
        <v>504</v>
      </c>
      <c r="G92" s="12" t="s">
        <v>581</v>
      </c>
      <c r="H92" s="12" t="s">
        <v>1053</v>
      </c>
      <c r="I92" s="12" t="s">
        <v>25</v>
      </c>
      <c r="J92" s="12" t="s">
        <v>25</v>
      </c>
    </row>
    <row customHeight="1" ht="33" r="93">
      <c r="B93" s="12">
        <f>HYPERLINK("https://gesdoc.uis.edu.co/share/page/folder-details?nodeRef=workspace://SpacesStore/521d13a5-d4e7-43af-8492-dd62bf9e3681","0298_2026000262_9669")</f>
      </c>
      <c r="C93" s="12" t="s">
        <v>98</v>
      </c>
      <c r="D93" s="13" t="s">
        <v>460</v>
      </c>
      <c r="E93" s="12" t="s">
        <v>494</v>
      </c>
      <c r="F93" s="12" t="s">
        <v>503</v>
      </c>
      <c r="G93" s="12" t="s">
        <v>582</v>
      </c>
      <c r="H93" s="12" t="s">
        <v>582</v>
      </c>
      <c r="I93" s="12" t="s">
        <v>25</v>
      </c>
      <c r="J93" s="12" t="s">
        <v>25</v>
      </c>
    </row>
    <row customHeight="1" ht="33" r="94">
      <c r="B94" s="12">
        <f>HYPERLINK("https://gesdoc.uis.edu.co/share/page/folder-details?nodeRef=workspace://SpacesStore/1fc481eb-fa89-4b15-b5c0-29bfbf113ca0","0298_2026000266_9669")</f>
      </c>
      <c r="C94" s="12" t="s">
        <v>99</v>
      </c>
      <c r="D94" s="13" t="s">
        <v>460</v>
      </c>
      <c r="E94" s="12" t="s">
        <v>494</v>
      </c>
      <c r="F94" s="12" t="s">
        <v>503</v>
      </c>
      <c r="G94" s="12" t="s">
        <v>583</v>
      </c>
      <c r="H94" s="12" t="s">
        <v>583</v>
      </c>
      <c r="I94" s="12" t="s">
        <v>25</v>
      </c>
      <c r="J94" s="12" t="s">
        <v>25</v>
      </c>
    </row>
    <row customHeight="1" ht="33" r="95">
      <c r="B95" s="12">
        <f>HYPERLINK("https://gesdoc.uis.edu.co/share/page/folder-details?nodeRef=workspace://SpacesStore/169b3dad-1bbf-497e-95c3-449375d26012","0018_2026002308_3140")</f>
      </c>
      <c r="C95" s="12" t="s">
        <v>100</v>
      </c>
      <c r="D95" s="13" t="s">
        <v>445</v>
      </c>
      <c r="E95" s="12" t="s">
        <v>494</v>
      </c>
      <c r="F95" s="12" t="s">
        <v>500</v>
      </c>
      <c r="G95" s="12" t="s">
        <v>584</v>
      </c>
      <c r="H95" s="12" t="s">
        <v>1054</v>
      </c>
      <c r="I95" s="12" t="s">
        <v>25</v>
      </c>
      <c r="J95" s="12" t="s">
        <v>25</v>
      </c>
    </row>
    <row customHeight="1" ht="33" r="96">
      <c r="B96" s="12">
        <f>HYPERLINK("https://gesdoc.uis.edu.co/share/page/folder-details?nodeRef=workspace://SpacesStore/d82e8c94-1cb0-4d25-a081-c8c2f443ef7d","2025000069_9701")</f>
      </c>
      <c r="C96" s="12" t="s">
        <v>25</v>
      </c>
      <c r="D96" s="13" t="s">
        <v>454</v>
      </c>
      <c r="E96" s="12" t="s">
        <v>494</v>
      </c>
      <c r="F96" s="12" t="s">
        <v>504</v>
      </c>
      <c r="G96" s="12" t="s">
        <v>585</v>
      </c>
      <c r="H96" s="12" t="s">
        <v>585</v>
      </c>
      <c r="I96" s="12" t="s">
        <v>25</v>
      </c>
      <c r="J96" s="12" t="s">
        <v>25</v>
      </c>
    </row>
    <row customHeight="1" ht="33" r="97">
      <c r="B97" s="12">
        <f>HYPERLINK("https://gesdoc.uis.edu.co/share/page/folder-details?nodeRef=workspace://SpacesStore/79cb8705-e16f-4fab-902e-b11a2f1944ce","2025000072_9701")</f>
      </c>
      <c r="C97" s="12" t="s">
        <v>25</v>
      </c>
      <c r="D97" s="13" t="s">
        <v>454</v>
      </c>
      <c r="E97" s="12" t="s">
        <v>494</v>
      </c>
      <c r="F97" s="12" t="s">
        <v>504</v>
      </c>
      <c r="G97" s="12" t="s">
        <v>586</v>
      </c>
      <c r="H97" s="12" t="s">
        <v>586</v>
      </c>
      <c r="I97" s="12" t="s">
        <v>25</v>
      </c>
      <c r="J97" s="12" t="s">
        <v>25</v>
      </c>
    </row>
    <row customHeight="1" ht="33" r="98">
      <c r="B98" s="12">
        <f>HYPERLINK("https://gesdoc.uis.edu.co/share/page/folder-details?nodeRef=workspace://SpacesStore/c7dc3a83-2644-43be-b8f8-13578e2c5322","2025000089_9701")</f>
      </c>
      <c r="C98" s="12" t="s">
        <v>25</v>
      </c>
      <c r="D98" s="13" t="s">
        <v>454</v>
      </c>
      <c r="E98" s="12" t="s">
        <v>494</v>
      </c>
      <c r="F98" s="12" t="s">
        <v>504</v>
      </c>
      <c r="G98" s="12" t="s">
        <v>587</v>
      </c>
      <c r="H98" s="12" t="s">
        <v>587</v>
      </c>
      <c r="I98" s="12" t="s">
        <v>25</v>
      </c>
      <c r="J98" s="12" t="s">
        <v>25</v>
      </c>
    </row>
    <row customHeight="1" ht="33" r="99">
      <c r="B99" s="12">
        <f>HYPERLINK("https://gesdoc.uis.edu.co/share/page/folder-details?nodeRef=workspace://SpacesStore/14a260da-5884-4791-a4ca-1af26ca0fc71","2025000088_9701")</f>
      </c>
      <c r="C99" s="12" t="s">
        <v>25</v>
      </c>
      <c r="D99" s="13" t="s">
        <v>454</v>
      </c>
      <c r="E99" s="12" t="s">
        <v>494</v>
      </c>
      <c r="F99" s="12" t="s">
        <v>504</v>
      </c>
      <c r="G99" s="12" t="s">
        <v>586</v>
      </c>
      <c r="H99" s="12" t="s">
        <v>587</v>
      </c>
      <c r="I99" s="12" t="s">
        <v>25</v>
      </c>
      <c r="J99" s="12" t="s">
        <v>25</v>
      </c>
    </row>
    <row customHeight="1" ht="33" r="100">
      <c r="B100" s="12">
        <f>HYPERLINK("https://gesdoc.uis.edu.co/share/page/folder-details?nodeRef=workspace://SpacesStore/891c8ec0-aa71-4b31-905f-330a9cf374b4","2025000165_9701")</f>
      </c>
      <c r="C100" s="12" t="s">
        <v>25</v>
      </c>
      <c r="D100" s="13" t="s">
        <v>454</v>
      </c>
      <c r="E100" s="12" t="s">
        <v>494</v>
      </c>
      <c r="F100" s="12" t="s">
        <v>504</v>
      </c>
      <c r="G100" s="12" t="s">
        <v>588</v>
      </c>
      <c r="H100" s="12" t="s">
        <v>588</v>
      </c>
      <c r="I100" s="12" t="s">
        <v>25</v>
      </c>
      <c r="J100" s="12" t="s">
        <v>25</v>
      </c>
    </row>
    <row customHeight="1" ht="33" r="101">
      <c r="B101" s="12">
        <f>HYPERLINK("https://gesdoc.uis.edu.co/share/page/folder-details?nodeRef=workspace://SpacesStore/e03d30fa-00fb-4c35-b707-34894271f331","2025000237_9701")</f>
      </c>
      <c r="C101" s="12" t="s">
        <v>25</v>
      </c>
      <c r="D101" s="13" t="s">
        <v>454</v>
      </c>
      <c r="E101" s="12" t="s">
        <v>494</v>
      </c>
      <c r="F101" s="12" t="s">
        <v>504</v>
      </c>
      <c r="G101" s="12" t="s">
        <v>589</v>
      </c>
      <c r="H101" s="12" t="s">
        <v>589</v>
      </c>
      <c r="I101" s="12" t="s">
        <v>25</v>
      </c>
      <c r="J101" s="12" t="s">
        <v>25</v>
      </c>
    </row>
    <row customHeight="1" ht="33" r="102">
      <c r="B102" s="12">
        <f>HYPERLINK("https://gesdoc.uis.edu.co/share/page/folder-details?nodeRef=workspace://SpacesStore/b37a9661-8585-4f55-b8eb-dc057a6d166b","0298_2025000382_4517")</f>
      </c>
      <c r="C102" s="12" t="s">
        <v>101</v>
      </c>
      <c r="D102" s="13" t="s">
        <v>440</v>
      </c>
      <c r="E102" s="12" t="s">
        <v>494</v>
      </c>
      <c r="F102" s="12" t="s">
        <v>503</v>
      </c>
      <c r="G102" s="12" t="s">
        <v>590</v>
      </c>
      <c r="H102" s="12" t="s">
        <v>590</v>
      </c>
      <c r="I102" s="12" t="s">
        <v>25</v>
      </c>
      <c r="J102" s="12" t="s">
        <v>25</v>
      </c>
    </row>
    <row customHeight="1" ht="33" r="103">
      <c r="B103" s="12">
        <f>HYPERLINK("https://gesdoc.uis.edu.co/share/page/folder-details?nodeRef=workspace://SpacesStore/4d67cb1d-eb0e-4259-90dd-84e0cdde4d20","0020_2026000311_7081")</f>
      </c>
      <c r="C103" s="12" t="s">
        <v>102</v>
      </c>
      <c r="D103" s="13" t="s">
        <v>459</v>
      </c>
      <c r="E103" s="12" t="s">
        <v>494</v>
      </c>
      <c r="F103" s="12" t="s">
        <v>495</v>
      </c>
      <c r="G103" s="12" t="s">
        <v>591</v>
      </c>
      <c r="H103" s="12" t="s">
        <v>1055</v>
      </c>
      <c r="I103" s="12" t="s">
        <v>25</v>
      </c>
      <c r="J103" s="12" t="s">
        <v>25</v>
      </c>
    </row>
    <row customHeight="1" ht="33" r="104">
      <c r="B104" s="12">
        <f>HYPERLINK("https://gesdoc.uis.edu.co/share/page/folder-details?nodeRef=workspace://SpacesStore/11bcf278-4be7-49f3-801d-a1ffd3ecf9e2","0298_2025000379_4517")</f>
      </c>
      <c r="C104" s="12" t="s">
        <v>103</v>
      </c>
      <c r="D104" s="13" t="s">
        <v>440</v>
      </c>
      <c r="E104" s="12" t="s">
        <v>494</v>
      </c>
      <c r="F104" s="12" t="s">
        <v>503</v>
      </c>
      <c r="G104" s="12" t="s">
        <v>592</v>
      </c>
      <c r="H104" s="12" t="s">
        <v>592</v>
      </c>
      <c r="I104" s="12" t="s">
        <v>25</v>
      </c>
      <c r="J104" s="12" t="s">
        <v>25</v>
      </c>
    </row>
    <row customHeight="1" ht="33" r="105">
      <c r="B105" s="12">
        <f>HYPERLINK("https://gesdoc.uis.edu.co/share/page/folder-details?nodeRef=workspace://SpacesStore/7ef1ee25-1a6a-4da8-a082-74bdbb50ddd3","0018_2026002438_7916")</f>
      </c>
      <c r="C105" s="12" t="s">
        <v>104</v>
      </c>
      <c r="D105" s="13" t="s">
        <v>448</v>
      </c>
      <c r="E105" s="12" t="s">
        <v>494</v>
      </c>
      <c r="F105" s="12" t="s">
        <v>500</v>
      </c>
      <c r="G105" s="12" t="s">
        <v>593</v>
      </c>
      <c r="H105" s="12" t="s">
        <v>593</v>
      </c>
      <c r="I105" s="12" t="s">
        <v>25</v>
      </c>
      <c r="J105" s="12" t="s">
        <v>25</v>
      </c>
    </row>
    <row customHeight="1" ht="33" r="106">
      <c r="B106" s="12">
        <f>HYPERLINK("https://gesdoc.uis.edu.co/share/page/folder-details?nodeRef=workspace://SpacesStore/11d5b5f7-bf1a-4263-be1c-b027e3783536","0018_2026002446_4516")</f>
      </c>
      <c r="C106" s="12" t="s">
        <v>105</v>
      </c>
      <c r="D106" s="13" t="s">
        <v>461</v>
      </c>
      <c r="E106" s="12" t="s">
        <v>494</v>
      </c>
      <c r="F106" s="12" t="s">
        <v>500</v>
      </c>
      <c r="G106" s="12" t="s">
        <v>594</v>
      </c>
      <c r="H106" s="12" t="s">
        <v>594</v>
      </c>
      <c r="I106" s="12" t="s">
        <v>25</v>
      </c>
      <c r="J106" s="12" t="s">
        <v>25</v>
      </c>
    </row>
    <row customHeight="1" ht="33" r="107">
      <c r="B107" s="12">
        <f>HYPERLINK("https://gesdoc.uis.edu.co/share/page/folder-details?nodeRef=workspace://SpacesStore/682f82bf-6007-4a74-bcbf-3add7101ffaa","0234_2026011456_2240")</f>
      </c>
      <c r="C107" s="12" t="s">
        <v>106</v>
      </c>
      <c r="D107" s="13" t="s">
        <v>438</v>
      </c>
      <c r="E107" s="12" t="s">
        <v>494</v>
      </c>
      <c r="F107" s="12" t="s">
        <v>501</v>
      </c>
      <c r="G107" s="12" t="s">
        <v>595</v>
      </c>
      <c r="H107" s="12" t="s">
        <v>595</v>
      </c>
      <c r="I107" s="12" t="s">
        <v>25</v>
      </c>
      <c r="J107" s="12" t="s">
        <v>25</v>
      </c>
    </row>
    <row customHeight="1" ht="33" r="108">
      <c r="B108" s="12">
        <f>HYPERLINK("https://gesdoc.uis.edu.co/share/page/folder-details?nodeRef=workspace://SpacesStore/c5a54eb3-b959-4065-bc1e-b01a14db12dd","0234_2026011472_2240")</f>
      </c>
      <c r="C108" s="12" t="s">
        <v>107</v>
      </c>
      <c r="D108" s="13" t="s">
        <v>438</v>
      </c>
      <c r="E108" s="12" t="s">
        <v>494</v>
      </c>
      <c r="F108" s="12" t="s">
        <v>501</v>
      </c>
      <c r="G108" s="12" t="s">
        <v>596</v>
      </c>
      <c r="H108" s="12" t="s">
        <v>596</v>
      </c>
      <c r="I108" s="12" t="s">
        <v>25</v>
      </c>
      <c r="J108" s="12" t="s">
        <v>25</v>
      </c>
    </row>
    <row customHeight="1" ht="33" r="109">
      <c r="B109" s="12">
        <f>HYPERLINK("https://gesdoc.uis.edu.co/share/page/folder-details?nodeRef=workspace://SpacesStore/175f3ec1-adad-46cb-9379-b72eb304dc27","0018_2026002386_9669")</f>
      </c>
      <c r="C109" s="12" t="s">
        <v>108</v>
      </c>
      <c r="D109" s="13" t="s">
        <v>460</v>
      </c>
      <c r="E109" s="12" t="s">
        <v>494</v>
      </c>
      <c r="F109" s="12" t="s">
        <v>500</v>
      </c>
      <c r="G109" s="12" t="s">
        <v>597</v>
      </c>
      <c r="H109" s="12" t="s">
        <v>1056</v>
      </c>
      <c r="I109" s="12" t="s">
        <v>25</v>
      </c>
      <c r="J109" s="12" t="s">
        <v>25</v>
      </c>
    </row>
    <row customHeight="1" ht="33" r="110">
      <c r="B110" s="12">
        <f>HYPERLINK("https://gesdoc.uis.edu.co/share/page/folder-details?nodeRef=workspace://SpacesStore/29c90220-7b02-4f3f-851d-edf1e0a7672d","0019_2026000103_3160")</f>
      </c>
      <c r="C110" s="12" t="s">
        <v>109</v>
      </c>
      <c r="D110" s="13" t="s">
        <v>440</v>
      </c>
      <c r="E110" s="12" t="s">
        <v>494</v>
      </c>
      <c r="F110" s="12" t="s">
        <v>498</v>
      </c>
      <c r="G110" s="12" t="s">
        <v>598</v>
      </c>
      <c r="H110" s="12" t="s">
        <v>1057</v>
      </c>
      <c r="I110" s="12" t="s">
        <v>25</v>
      </c>
      <c r="J110" s="12" t="s">
        <v>25</v>
      </c>
    </row>
    <row customHeight="1" ht="33" r="111">
      <c r="B111" s="12">
        <f>HYPERLINK("https://gesdoc.uis.edu.co/share/page/folder-details?nodeRef=workspace://SpacesStore/c3f586fb-533d-4b0f-bb24-a7fe9baaa8ff","0298_2025000380_4517")</f>
      </c>
      <c r="C111" s="12" t="s">
        <v>110</v>
      </c>
      <c r="D111" s="13" t="s">
        <v>440</v>
      </c>
      <c r="E111" s="12" t="s">
        <v>494</v>
      </c>
      <c r="F111" s="12" t="s">
        <v>503</v>
      </c>
      <c r="G111" s="12" t="s">
        <v>599</v>
      </c>
      <c r="H111" s="12" t="s">
        <v>599</v>
      </c>
      <c r="I111" s="12" t="s">
        <v>25</v>
      </c>
      <c r="J111" s="12" t="s">
        <v>25</v>
      </c>
    </row>
    <row customHeight="1" ht="33" r="112">
      <c r="B112" s="12">
        <f>HYPERLINK("https://gesdoc.uis.edu.co/share/page/folder-details?nodeRef=workspace://SpacesStore/a157a173-369a-46fa-bc83-5886da108ef4","0298_2026000247_1468_EV111")</f>
      </c>
      <c r="C112" s="12" t="s">
        <v>111</v>
      </c>
      <c r="D112" s="13" t="s">
        <v>440</v>
      </c>
      <c r="E112" s="12" t="s">
        <v>494</v>
      </c>
      <c r="F112" s="12" t="s">
        <v>499</v>
      </c>
      <c r="G112" s="12" t="s">
        <v>600</v>
      </c>
      <c r="H112" s="12" t="s">
        <v>1058</v>
      </c>
      <c r="I112" s="12" t="s">
        <v>1258</v>
      </c>
      <c r="J112" s="12" t="s">
        <v>1266</v>
      </c>
    </row>
    <row customHeight="1" ht="33" r="113">
      <c r="B113" s="12">
        <f>HYPERLINK("https://gesdoc.uis.edu.co/share/page/folder-details?nodeRef=workspace://SpacesStore/91299dbb-9a4f-4658-bdd0-ebdccc11ccb5","0019_2026000102_3160")</f>
      </c>
      <c r="C113" s="12" t="s">
        <v>112</v>
      </c>
      <c r="D113" s="13" t="s">
        <v>440</v>
      </c>
      <c r="E113" s="12" t="s">
        <v>494</v>
      </c>
      <c r="F113" s="12" t="s">
        <v>498</v>
      </c>
      <c r="G113" s="12" t="s">
        <v>601</v>
      </c>
      <c r="H113" s="12" t="s">
        <v>1059</v>
      </c>
      <c r="I113" s="12" t="s">
        <v>25</v>
      </c>
      <c r="J113" s="12" t="s">
        <v>25</v>
      </c>
    </row>
    <row customHeight="1" ht="33" r="114">
      <c r="B114" s="12">
        <f>HYPERLINK("https://gesdoc.uis.edu.co/share/page/folder-details?nodeRef=workspace://SpacesStore/d58920a7-53d7-466a-a52e-c57f6c429f4c","0020_2026000298_6150")</f>
      </c>
      <c r="C114" s="12" t="s">
        <v>113</v>
      </c>
      <c r="D114" s="13" t="s">
        <v>446</v>
      </c>
      <c r="E114" s="12" t="s">
        <v>494</v>
      </c>
      <c r="F114" s="12" t="s">
        <v>495</v>
      </c>
      <c r="G114" s="12" t="s">
        <v>602</v>
      </c>
      <c r="H114" s="12" t="s">
        <v>1060</v>
      </c>
      <c r="I114" s="12" t="s">
        <v>25</v>
      </c>
      <c r="J114" s="12" t="s">
        <v>25</v>
      </c>
    </row>
    <row customHeight="1" ht="33" r="115">
      <c r="B115" s="12">
        <f>HYPERLINK("https://gesdoc.uis.edu.co/share/page/folder-details?nodeRef=workspace://SpacesStore/f4830ce2-686b-4632-8560-20a155a351be","0018_2026002395_9291")</f>
      </c>
      <c r="C115" s="12" t="s">
        <v>114</v>
      </c>
      <c r="D115" s="13" t="s">
        <v>462</v>
      </c>
      <c r="E115" s="12" t="s">
        <v>494</v>
      </c>
      <c r="F115" s="12" t="s">
        <v>500</v>
      </c>
      <c r="G115" s="12" t="s">
        <v>603</v>
      </c>
      <c r="H115" s="12" t="s">
        <v>603</v>
      </c>
      <c r="I115" s="12" t="s">
        <v>25</v>
      </c>
      <c r="J115" s="12" t="s">
        <v>25</v>
      </c>
    </row>
    <row customHeight="1" ht="33" r="116">
      <c r="B116" s="12">
        <f>HYPERLINK("https://gesdoc.uis.edu.co/share/page/folder-details?nodeRef=workspace://SpacesStore/948c33b6-0b27-4494-b21d-d7eeb14a017d","0018_2026002319_9769")</f>
      </c>
      <c r="C116" s="12" t="s">
        <v>115</v>
      </c>
      <c r="D116" s="13" t="s">
        <v>459</v>
      </c>
      <c r="E116" s="12" t="s">
        <v>494</v>
      </c>
      <c r="F116" s="12" t="s">
        <v>500</v>
      </c>
      <c r="G116" s="12" t="s">
        <v>604</v>
      </c>
      <c r="H116" s="12" t="s">
        <v>1061</v>
      </c>
      <c r="I116" s="12" t="s">
        <v>25</v>
      </c>
      <c r="J116" s="12" t="s">
        <v>25</v>
      </c>
    </row>
    <row customHeight="1" ht="33" r="117">
      <c r="B117" s="12">
        <f>HYPERLINK("https://gesdoc.uis.edu.co/share/page/folder-details?nodeRef=workspace://SpacesStore/aaca3863-2d1e-4e37-978c-06f21c70f537","0018_2026002391_7064")</f>
      </c>
      <c r="C117" s="12" t="s">
        <v>116</v>
      </c>
      <c r="D117" s="13" t="s">
        <v>463</v>
      </c>
      <c r="E117" s="12" t="s">
        <v>494</v>
      </c>
      <c r="F117" s="12" t="s">
        <v>500</v>
      </c>
      <c r="G117" s="12" t="s">
        <v>605</v>
      </c>
      <c r="H117" s="12" t="s">
        <v>1062</v>
      </c>
      <c r="I117" s="12" t="s">
        <v>25</v>
      </c>
      <c r="J117" s="12" t="s">
        <v>25</v>
      </c>
    </row>
    <row customHeight="1" ht="33" r="118">
      <c r="B118" s="12">
        <f>HYPERLINK("https://gesdoc.uis.edu.co/share/page/folder-details?nodeRef=workspace://SpacesStore/01dbd39d-8ba0-4690-9ae9-8986e395c32c","18_2026002440_7068")</f>
      </c>
      <c r="C118" s="12" t="s">
        <v>25</v>
      </c>
      <c r="D118" s="13" t="s">
        <v>448</v>
      </c>
      <c r="E118" s="12" t="s">
        <v>494</v>
      </c>
      <c r="F118" s="12" t="s">
        <v>500</v>
      </c>
      <c r="G118" s="12" t="s">
        <v>606</v>
      </c>
      <c r="H118" s="12" t="s">
        <v>606</v>
      </c>
      <c r="I118" s="12" t="s">
        <v>25</v>
      </c>
      <c r="J118" s="12" t="s">
        <v>25</v>
      </c>
    </row>
    <row customHeight="1" ht="33" r="119">
      <c r="B119" s="12">
        <f>HYPERLINK("https://gesdoc.uis.edu.co/share/page/folder-details?nodeRef=workspace://SpacesStore/a8f8996c-49d3-4775-acef-2608ad1b5292","18_2026002420_7068")</f>
      </c>
      <c r="C119" s="12" t="s">
        <v>25</v>
      </c>
      <c r="D119" s="13" t="s">
        <v>448</v>
      </c>
      <c r="E119" s="12" t="s">
        <v>494</v>
      </c>
      <c r="F119" s="12" t="s">
        <v>500</v>
      </c>
      <c r="G119" s="12" t="s">
        <v>607</v>
      </c>
      <c r="H119" s="12" t="s">
        <v>607</v>
      </c>
      <c r="I119" s="12" t="s">
        <v>25</v>
      </c>
      <c r="J119" s="12" t="s">
        <v>25</v>
      </c>
    </row>
    <row customHeight="1" ht="33" r="120">
      <c r="B120" s="12">
        <f>HYPERLINK("https://gesdoc.uis.edu.co/share/page/folder-details?nodeRef=workspace://SpacesStore/75eb6764-4b7d-4fb6-970d-74cd16649d03","18_2026002441_7068")</f>
      </c>
      <c r="C120" s="12" t="s">
        <v>25</v>
      </c>
      <c r="D120" s="13" t="s">
        <v>448</v>
      </c>
      <c r="E120" s="12" t="s">
        <v>494</v>
      </c>
      <c r="F120" s="12" t="s">
        <v>500</v>
      </c>
      <c r="G120" s="12" t="s">
        <v>608</v>
      </c>
      <c r="H120" s="12" t="s">
        <v>608</v>
      </c>
      <c r="I120" s="12" t="s">
        <v>25</v>
      </c>
      <c r="J120" s="12" t="s">
        <v>25</v>
      </c>
    </row>
    <row customHeight="1" ht="33" r="121">
      <c r="B121" s="12">
        <f>HYPERLINK("https://gesdoc.uis.edu.co/share/page/folder-details?nodeRef=workspace://SpacesStore/b22f5314-b492-4372-a120-f73bd8914006","0018_2026002460_7233")</f>
      </c>
      <c r="C121" s="12" t="s">
        <v>117</v>
      </c>
      <c r="D121" s="13" t="s">
        <v>452</v>
      </c>
      <c r="E121" s="12" t="s">
        <v>494</v>
      </c>
      <c r="F121" s="12" t="s">
        <v>500</v>
      </c>
      <c r="G121" s="12" t="s">
        <v>609</v>
      </c>
      <c r="H121" s="12" t="s">
        <v>1063</v>
      </c>
      <c r="I121" s="12" t="s">
        <v>25</v>
      </c>
      <c r="J121" s="12" t="s">
        <v>25</v>
      </c>
    </row>
    <row customHeight="1" ht="33" r="122">
      <c r="B122" s="12">
        <f>HYPERLINK("https://gesdoc.uis.edu.co/share/page/folder-details?nodeRef=workspace://SpacesStore/0ef9a077-b883-413d-9a94-f38e1d284814","2026011539_2250")</f>
      </c>
      <c r="C122" s="12" t="s">
        <v>25</v>
      </c>
      <c r="D122" s="13" t="s">
        <v>464</v>
      </c>
      <c r="E122" s="12" t="s">
        <v>494</v>
      </c>
      <c r="F122" s="12" t="s">
        <v>501</v>
      </c>
      <c r="G122" s="12" t="s">
        <v>610</v>
      </c>
      <c r="H122" s="12" t="s">
        <v>610</v>
      </c>
      <c r="I122" s="12" t="s">
        <v>25</v>
      </c>
      <c r="J122" s="12" t="s">
        <v>25</v>
      </c>
    </row>
    <row customHeight="1" ht="33" r="123">
      <c r="B123" s="12">
        <f>HYPERLINK("https://gesdoc.uis.edu.co/share/page/folder-details?nodeRef=workspace://SpacesStore/70e3acc8-b90d-4123-8dd8-b3bf0dbd5935","2026011540_2250")</f>
      </c>
      <c r="C123" s="12" t="s">
        <v>25</v>
      </c>
      <c r="D123" s="13" t="s">
        <v>464</v>
      </c>
      <c r="E123" s="12" t="s">
        <v>494</v>
      </c>
      <c r="F123" s="12" t="s">
        <v>501</v>
      </c>
      <c r="G123" s="12" t="s">
        <v>610</v>
      </c>
      <c r="H123" s="12" t="s">
        <v>610</v>
      </c>
      <c r="I123" s="12" t="s">
        <v>25</v>
      </c>
      <c r="J123" s="12" t="s">
        <v>25</v>
      </c>
    </row>
    <row customHeight="1" ht="33" r="124">
      <c r="B124" s="12">
        <f>HYPERLINK("https://gesdoc.uis.edu.co/share/page/folder-details?nodeRef=workspace://SpacesStore/121adc01-f5af-4fa6-bbaa-97e8ef42e23b","0018_2026002428_7093")</f>
      </c>
      <c r="C124" s="12" t="s">
        <v>118</v>
      </c>
      <c r="D124" s="13" t="s">
        <v>465</v>
      </c>
      <c r="E124" s="12" t="s">
        <v>494</v>
      </c>
      <c r="F124" s="12" t="s">
        <v>500</v>
      </c>
      <c r="G124" s="12" t="s">
        <v>611</v>
      </c>
      <c r="H124" s="12" t="s">
        <v>611</v>
      </c>
      <c r="I124" s="12" t="s">
        <v>25</v>
      </c>
      <c r="J124" s="12" t="s">
        <v>25</v>
      </c>
    </row>
    <row customHeight="1" ht="33" r="125">
      <c r="B125" s="12">
        <f>HYPERLINK("https://gesdoc.uis.edu.co/share/page/folder-details?nodeRef=workspace://SpacesStore/dcf97e86-01a9-441d-ae1b-eb4a3b107418","0018_2026002466_9124")</f>
      </c>
      <c r="C125" s="12" t="s">
        <v>119</v>
      </c>
      <c r="D125" s="13" t="s">
        <v>466</v>
      </c>
      <c r="E125" s="12" t="s">
        <v>494</v>
      </c>
      <c r="F125" s="12" t="s">
        <v>500</v>
      </c>
      <c r="G125" s="12" t="s">
        <v>612</v>
      </c>
      <c r="H125" s="12" t="s">
        <v>612</v>
      </c>
      <c r="I125" s="12" t="s">
        <v>25</v>
      </c>
      <c r="J125" s="12" t="s">
        <v>25</v>
      </c>
    </row>
    <row customHeight="1" ht="33" r="126">
      <c r="B126" s="12">
        <f>HYPERLINK("https://gesdoc.uis.edu.co/share/page/folder-details?nodeRef=workspace://SpacesStore/bd10c0b0-e29f-4651-af28-0dc46fb6ee07","0018_2026002387_9174")</f>
      </c>
      <c r="C126" s="12" t="s">
        <v>120</v>
      </c>
      <c r="D126" s="13" t="s">
        <v>467</v>
      </c>
      <c r="E126" s="12" t="s">
        <v>494</v>
      </c>
      <c r="F126" s="12" t="s">
        <v>500</v>
      </c>
      <c r="G126" s="12" t="s">
        <v>613</v>
      </c>
      <c r="H126" s="12" t="s">
        <v>1064</v>
      </c>
      <c r="I126" s="12" t="s">
        <v>25</v>
      </c>
      <c r="J126" s="12" t="s">
        <v>25</v>
      </c>
    </row>
    <row customHeight="1" ht="33" r="127">
      <c r="B127" s="12">
        <f>HYPERLINK("https://gesdoc.uis.edu.co/share/page/folder-details?nodeRef=workspace://SpacesStore/55f63d04-193b-4603-a8d9-cff832bfa405","0019_2026000090_3160")</f>
      </c>
      <c r="C127" s="12" t="s">
        <v>121</v>
      </c>
      <c r="D127" s="13" t="s">
        <v>440</v>
      </c>
      <c r="E127" s="12" t="s">
        <v>494</v>
      </c>
      <c r="F127" s="12" t="s">
        <v>498</v>
      </c>
      <c r="G127" s="12" t="s">
        <v>614</v>
      </c>
      <c r="H127" s="12" t="s">
        <v>1065</v>
      </c>
      <c r="I127" s="12" t="s">
        <v>25</v>
      </c>
      <c r="J127" s="12" t="s">
        <v>25</v>
      </c>
    </row>
    <row customHeight="1" ht="33" r="128">
      <c r="B128" s="12">
        <f>HYPERLINK("https://gesdoc.uis.edu.co/share/page/folder-details?nodeRef=workspace://SpacesStore/4c952cd9-f353-41b4-ae06-18be624803dd","0020_2026000293_7081")</f>
      </c>
      <c r="C128" s="12" t="s">
        <v>122</v>
      </c>
      <c r="D128" s="13" t="s">
        <v>459</v>
      </c>
      <c r="E128" s="12" t="s">
        <v>494</v>
      </c>
      <c r="F128" s="12" t="s">
        <v>495</v>
      </c>
      <c r="G128" s="12" t="s">
        <v>615</v>
      </c>
      <c r="H128" s="12" t="s">
        <v>1066</v>
      </c>
      <c r="I128" s="12" t="s">
        <v>25</v>
      </c>
      <c r="J128" s="12" t="s">
        <v>25</v>
      </c>
    </row>
    <row customHeight="1" ht="33" r="129">
      <c r="B129" s="12">
        <f>HYPERLINK("https://gesdoc.uis.edu.co/share/page/folder-details?nodeRef=workspace://SpacesStore/49e1b508-7491-4429-91df-3e87f3a0b765","18_2026002447_7749")</f>
      </c>
      <c r="C129" s="12" t="s">
        <v>25</v>
      </c>
      <c r="D129" s="13" t="s">
        <v>448</v>
      </c>
      <c r="E129" s="12" t="s">
        <v>494</v>
      </c>
      <c r="F129" s="12" t="s">
        <v>500</v>
      </c>
      <c r="G129" s="12" t="s">
        <v>616</v>
      </c>
      <c r="H129" s="12" t="s">
        <v>616</v>
      </c>
      <c r="I129" s="12" t="s">
        <v>25</v>
      </c>
      <c r="J129" s="12" t="s">
        <v>25</v>
      </c>
    </row>
    <row customHeight="1" ht="33" r="130">
      <c r="B130" s="12">
        <f>HYPERLINK("https://gesdoc.uis.edu.co/share/page/folder-details?nodeRef=workspace://SpacesStore/acd0bba5-70fa-4cb9-b414-63fcf05ed56a","0234_2026011448_2240")</f>
      </c>
      <c r="C130" s="12" t="s">
        <v>123</v>
      </c>
      <c r="D130" s="13" t="s">
        <v>438</v>
      </c>
      <c r="E130" s="12" t="s">
        <v>494</v>
      </c>
      <c r="F130" s="12" t="s">
        <v>501</v>
      </c>
      <c r="G130" s="12" t="s">
        <v>617</v>
      </c>
      <c r="H130" s="12" t="s">
        <v>617</v>
      </c>
      <c r="I130" s="12" t="s">
        <v>25</v>
      </c>
      <c r="J130" s="12" t="s">
        <v>25</v>
      </c>
    </row>
    <row customHeight="1" ht="33" r="131">
      <c r="B131" s="12">
        <f>HYPERLINK("https://gesdoc.uis.edu.co/share/page/folder-details?nodeRef=workspace://SpacesStore/a5d445c7-89a1-42a6-94a4-af1160e4a3ac","0018_2026002416_7849")</f>
      </c>
      <c r="C131" s="12" t="s">
        <v>124</v>
      </c>
      <c r="D131" s="13" t="s">
        <v>468</v>
      </c>
      <c r="E131" s="12" t="s">
        <v>494</v>
      </c>
      <c r="F131" s="12" t="s">
        <v>500</v>
      </c>
      <c r="G131" s="12" t="s">
        <v>618</v>
      </c>
      <c r="H131" s="12" t="s">
        <v>618</v>
      </c>
      <c r="I131" s="12" t="s">
        <v>25</v>
      </c>
      <c r="J131" s="12" t="s">
        <v>25</v>
      </c>
    </row>
    <row customHeight="1" ht="33" r="132">
      <c r="B132" s="12">
        <f>HYPERLINK("https://gesdoc.uis.edu.co/share/page/folder-details?nodeRef=workspace://SpacesStore/778d151f-0a93-490f-a431-b4b5b105916a","0298_2025000333_3160")</f>
      </c>
      <c r="C132" s="12" t="s">
        <v>125</v>
      </c>
      <c r="D132" s="13" t="s">
        <v>440</v>
      </c>
      <c r="E132" s="12" t="s">
        <v>494</v>
      </c>
      <c r="F132" s="12" t="s">
        <v>503</v>
      </c>
      <c r="G132" s="12" t="s">
        <v>619</v>
      </c>
      <c r="H132" s="12" t="s">
        <v>1067</v>
      </c>
      <c r="I132" s="12" t="s">
        <v>25</v>
      </c>
      <c r="J132" s="12" t="s">
        <v>25</v>
      </c>
    </row>
    <row customHeight="1" ht="33" r="133">
      <c r="B133" s="12">
        <f>HYPERLINK("https://gesdoc.uis.edu.co/share/page/folder-details?nodeRef=workspace://SpacesStore/034e65b3-39db-4d59-baa3-c6dcae347310","0018_2026002300_7087")</f>
      </c>
      <c r="C133" s="12" t="s">
        <v>126</v>
      </c>
      <c r="D133" s="13" t="s">
        <v>441</v>
      </c>
      <c r="E133" s="12" t="s">
        <v>494</v>
      </c>
      <c r="F133" s="12" t="s">
        <v>500</v>
      </c>
      <c r="G133" s="12" t="s">
        <v>620</v>
      </c>
      <c r="H133" s="12" t="s">
        <v>1068</v>
      </c>
      <c r="I133" s="12" t="s">
        <v>25</v>
      </c>
      <c r="J133" s="12" t="s">
        <v>25</v>
      </c>
    </row>
    <row customHeight="1" ht="33" r="134">
      <c r="B134" s="12">
        <f>HYPERLINK("https://gesdoc.uis.edu.co/share/page/folder-details?nodeRef=workspace://SpacesStore/9da49ca7-b3a8-4fe3-842b-0b01dca52745","0270_2026000715_1468")</f>
      </c>
      <c r="C134" s="12" t="s">
        <v>127</v>
      </c>
      <c r="D134" s="13" t="s">
        <v>442</v>
      </c>
      <c r="E134" s="12" t="s">
        <v>494</v>
      </c>
      <c r="F134" s="12" t="s">
        <v>495</v>
      </c>
      <c r="G134" s="12" t="s">
        <v>621</v>
      </c>
      <c r="H134" s="12" t="s">
        <v>1069</v>
      </c>
      <c r="I134" s="12" t="s">
        <v>25</v>
      </c>
      <c r="J134" s="12" t="s">
        <v>25</v>
      </c>
    </row>
    <row customHeight="1" ht="33" r="135">
      <c r="B135" s="12">
        <f>HYPERLINK("https://gesdoc.uis.edu.co/share/page/folder-details?nodeRef=workspace://SpacesStore/e42a3915-e59f-41b7-a973-3378ff760c7f","0298_2025000263_9205_EV007")</f>
      </c>
      <c r="C135" s="12" t="s">
        <v>128</v>
      </c>
      <c r="D135" s="13" t="s">
        <v>440</v>
      </c>
      <c r="E135" s="12" t="s">
        <v>494</v>
      </c>
      <c r="F135" s="12" t="s">
        <v>499</v>
      </c>
      <c r="G135" s="12" t="s">
        <v>622</v>
      </c>
      <c r="H135" s="12" t="s">
        <v>622</v>
      </c>
      <c r="I135" s="12" t="s">
        <v>1258</v>
      </c>
      <c r="J135" s="12" t="s">
        <v>1264</v>
      </c>
    </row>
    <row customHeight="1" ht="33" r="136">
      <c r="B136" s="12">
        <f>HYPERLINK("https://gesdoc.uis.edu.co/share/page/folder-details?nodeRef=workspace://SpacesStore/d206b71b-86f7-4718-8bcb-9091c90f7d2b","0018_2026002267_3180")</f>
      </c>
      <c r="C136" s="12" t="s">
        <v>129</v>
      </c>
      <c r="D136" s="13" t="s">
        <v>453</v>
      </c>
      <c r="E136" s="12" t="s">
        <v>494</v>
      </c>
      <c r="F136" s="12" t="s">
        <v>500</v>
      </c>
      <c r="G136" s="12" t="s">
        <v>623</v>
      </c>
      <c r="H136" s="12" t="s">
        <v>1070</v>
      </c>
      <c r="I136" s="12" t="s">
        <v>25</v>
      </c>
      <c r="J136" s="12" t="s">
        <v>25</v>
      </c>
    </row>
    <row customHeight="1" ht="33" r="137">
      <c r="B137" s="12">
        <f>HYPERLINK("https://gesdoc.uis.edu.co/share/page/folder-details?nodeRef=workspace://SpacesStore/5f8ec42e-47e0-41f4-b967-c727068ad441","0018_2026002285_3180")</f>
      </c>
      <c r="C137" s="12" t="s">
        <v>130</v>
      </c>
      <c r="D137" s="13" t="s">
        <v>453</v>
      </c>
      <c r="E137" s="12" t="s">
        <v>494</v>
      </c>
      <c r="F137" s="12" t="s">
        <v>500</v>
      </c>
      <c r="G137" s="12" t="s">
        <v>624</v>
      </c>
      <c r="H137" s="12" t="s">
        <v>624</v>
      </c>
      <c r="I137" s="12" t="s">
        <v>25</v>
      </c>
      <c r="J137" s="12" t="s">
        <v>25</v>
      </c>
    </row>
    <row customHeight="1" ht="33" r="138">
      <c r="B138" s="12">
        <f>HYPERLINK("https://gesdoc.uis.edu.co/share/page/folder-details?nodeRef=workspace://SpacesStore/a89c114c-701f-4086-a0b6-4e5440142907","0298_2025000236_3160_EV009")</f>
      </c>
      <c r="C138" s="12" t="s">
        <v>131</v>
      </c>
      <c r="D138" s="13" t="s">
        <v>440</v>
      </c>
      <c r="E138" s="12" t="s">
        <v>494</v>
      </c>
      <c r="F138" s="12" t="s">
        <v>499</v>
      </c>
      <c r="G138" s="12" t="s">
        <v>625</v>
      </c>
      <c r="H138" s="12" t="s">
        <v>625</v>
      </c>
      <c r="I138" s="12" t="s">
        <v>1256</v>
      </c>
      <c r="J138" s="12" t="s">
        <v>1263</v>
      </c>
    </row>
    <row customHeight="1" ht="33" r="139">
      <c r="B139" s="12">
        <f>HYPERLINK("https://gesdoc.uis.edu.co/share/page/folder-details?nodeRef=workspace://SpacesStore/317e88ee-7d64-4262-9ecc-19544e799341","0298_2025000296_7062_EV011")</f>
      </c>
      <c r="C139" s="12" t="s">
        <v>132</v>
      </c>
      <c r="D139" s="13" t="s">
        <v>440</v>
      </c>
      <c r="E139" s="12" t="s">
        <v>494</v>
      </c>
      <c r="F139" s="12" t="s">
        <v>499</v>
      </c>
      <c r="G139" s="12" t="s">
        <v>626</v>
      </c>
      <c r="H139" s="12" t="s">
        <v>1071</v>
      </c>
      <c r="I139" s="12" t="s">
        <v>1256</v>
      </c>
      <c r="J139" s="12" t="s">
        <v>1263</v>
      </c>
    </row>
    <row customHeight="1" ht="33" r="140">
      <c r="B140" s="12">
        <f>HYPERLINK("https://gesdoc.uis.edu.co/share/page/folder-details?nodeRef=workspace://SpacesStore/39ad40e1-f934-4818-801c-9a1679b55c49","0298_2025000285_3160_EV010")</f>
      </c>
      <c r="C140" s="12" t="s">
        <v>133</v>
      </c>
      <c r="D140" s="13" t="s">
        <v>440</v>
      </c>
      <c r="E140" s="12" t="s">
        <v>494</v>
      </c>
      <c r="F140" s="12" t="s">
        <v>499</v>
      </c>
      <c r="G140" s="12" t="s">
        <v>627</v>
      </c>
      <c r="H140" s="12" t="s">
        <v>627</v>
      </c>
      <c r="I140" s="12" t="s">
        <v>1256</v>
      </c>
      <c r="J140" s="12" t="s">
        <v>1263</v>
      </c>
    </row>
    <row customHeight="1" ht="33" r="141">
      <c r="B141" s="12">
        <f>HYPERLINK("https://gesdoc.uis.edu.co/share/page/folder-details?nodeRef=workspace://SpacesStore/613e71c3-5dfd-4864-b79f-f64663f470c8","0020_2026000265_7053")</f>
      </c>
      <c r="C141" s="12" t="s">
        <v>134</v>
      </c>
      <c r="D141" s="13" t="s">
        <v>469</v>
      </c>
      <c r="E141" s="12" t="s">
        <v>494</v>
      </c>
      <c r="F141" s="12" t="s">
        <v>495</v>
      </c>
      <c r="G141" s="12" t="s">
        <v>628</v>
      </c>
      <c r="H141" s="12" t="s">
        <v>628</v>
      </c>
      <c r="I141" s="12" t="s">
        <v>25</v>
      </c>
      <c r="J141" s="12" t="s">
        <v>25</v>
      </c>
    </row>
    <row customHeight="1" ht="33" r="142">
      <c r="B142" s="12">
        <f>HYPERLINK("https://gesdoc.uis.edu.co/share/page/folder-details?nodeRef=workspace://SpacesStore/91063adc-82af-445f-9aaf-f5cf760109b3","0020_2026000244_4819")</f>
      </c>
      <c r="C142" s="12" t="s">
        <v>135</v>
      </c>
      <c r="D142" s="13" t="s">
        <v>444</v>
      </c>
      <c r="E142" s="12" t="s">
        <v>494</v>
      </c>
      <c r="F142" s="12" t="s">
        <v>495</v>
      </c>
      <c r="G142" s="12" t="s">
        <v>629</v>
      </c>
      <c r="H142" s="12" t="s">
        <v>629</v>
      </c>
      <c r="I142" s="12" t="s">
        <v>25</v>
      </c>
      <c r="J142" s="12" t="s">
        <v>25</v>
      </c>
    </row>
    <row customHeight="1" ht="33" r="143">
      <c r="B143" s="12">
        <f>HYPERLINK("https://gesdoc.uis.edu.co/share/page/folder-details?nodeRef=workspace://SpacesStore/ca9f92e1-765a-45eb-819a-8c6681916a28","0018_2026002307_7807")</f>
      </c>
      <c r="C143" s="12" t="s">
        <v>136</v>
      </c>
      <c r="D143" s="13" t="s">
        <v>449</v>
      </c>
      <c r="E143" s="12" t="s">
        <v>494</v>
      </c>
      <c r="F143" s="12" t="s">
        <v>500</v>
      </c>
      <c r="G143" s="12" t="s">
        <v>630</v>
      </c>
      <c r="H143" s="12" t="s">
        <v>630</v>
      </c>
      <c r="I143" s="12" t="s">
        <v>25</v>
      </c>
      <c r="J143" s="12" t="s">
        <v>25</v>
      </c>
    </row>
    <row customHeight="1" ht="33" r="144">
      <c r="B144" s="12">
        <f>HYPERLINK("https://gesdoc.uis.edu.co/share/page/folder-details?nodeRef=workspace://SpacesStore/44ef3aa6-3d38-4cca-b951-46a438bb02c9","0018_2026002306_7807")</f>
      </c>
      <c r="C144" s="12" t="s">
        <v>137</v>
      </c>
      <c r="D144" s="13" t="s">
        <v>449</v>
      </c>
      <c r="E144" s="12" t="s">
        <v>494</v>
      </c>
      <c r="F144" s="12" t="s">
        <v>500</v>
      </c>
      <c r="G144" s="12" t="s">
        <v>630</v>
      </c>
      <c r="H144" s="12" t="s">
        <v>630</v>
      </c>
      <c r="I144" s="12" t="s">
        <v>25</v>
      </c>
      <c r="J144" s="12" t="s">
        <v>25</v>
      </c>
    </row>
    <row customHeight="1" ht="33" r="145">
      <c r="B145" s="12">
        <f>HYPERLINK("https://gesdoc.uis.edu.co/share/page/folder-details?nodeRef=workspace://SpacesStore/16767585-bf80-4578-be3b-9cf9ff6dbf9e","0298_2025000391_1468_EV021")</f>
      </c>
      <c r="C145" s="12" t="s">
        <v>138</v>
      </c>
      <c r="D145" s="13" t="s">
        <v>440</v>
      </c>
      <c r="E145" s="12" t="s">
        <v>494</v>
      </c>
      <c r="F145" s="12" t="s">
        <v>499</v>
      </c>
      <c r="G145" s="12" t="s">
        <v>631</v>
      </c>
      <c r="H145" s="12" t="s">
        <v>631</v>
      </c>
      <c r="I145" s="12" t="s">
        <v>1256</v>
      </c>
      <c r="J145" s="12" t="s">
        <v>1263</v>
      </c>
    </row>
    <row customHeight="1" ht="33" r="146">
      <c r="B146" s="12">
        <f>HYPERLINK("https://gesdoc.uis.edu.co/share/page/folder-details?nodeRef=workspace://SpacesStore/c084c69d-6ecf-4c2d-8516-3c04392edc7b","0298_2025000390_1468_EV020")</f>
      </c>
      <c r="C146" s="12" t="s">
        <v>139</v>
      </c>
      <c r="D146" s="13" t="s">
        <v>440</v>
      </c>
      <c r="E146" s="12" t="s">
        <v>494</v>
      </c>
      <c r="F146" s="12" t="s">
        <v>499</v>
      </c>
      <c r="G146" s="12" t="s">
        <v>632</v>
      </c>
      <c r="H146" s="12" t="s">
        <v>632</v>
      </c>
      <c r="I146" s="12" t="s">
        <v>1256</v>
      </c>
      <c r="J146" s="12" t="s">
        <v>1263</v>
      </c>
    </row>
    <row customHeight="1" ht="33" r="147">
      <c r="B147" s="12">
        <f>HYPERLINK("https://gesdoc.uis.edu.co/share/page/folder-details?nodeRef=workspace://SpacesStore/0051f0a8-6230-4740-9bf5-a7e2dc638326","0298_2025000004_7062_EV067")</f>
      </c>
      <c r="C147" s="12" t="s">
        <v>140</v>
      </c>
      <c r="D147" s="13" t="s">
        <v>440</v>
      </c>
      <c r="E147" s="12" t="s">
        <v>494</v>
      </c>
      <c r="F147" s="12" t="s">
        <v>499</v>
      </c>
      <c r="G147" s="12" t="s">
        <v>633</v>
      </c>
      <c r="H147" s="12" t="s">
        <v>633</v>
      </c>
      <c r="I147" s="12" t="s">
        <v>1257</v>
      </c>
      <c r="J147" s="12" t="s">
        <v>1262</v>
      </c>
    </row>
    <row customHeight="1" ht="33" r="148">
      <c r="B148" s="12">
        <f>HYPERLINK("https://gesdoc.uis.edu.co/share/page/folder-details?nodeRef=workspace://SpacesStore/71011e0d-c9b4-4de9-aedd-7898511d7fa8","0234_2026010045_6430")</f>
      </c>
      <c r="C148" s="12" t="s">
        <v>141</v>
      </c>
      <c r="D148" s="13" t="s">
        <v>470</v>
      </c>
      <c r="E148" s="12" t="s">
        <v>494</v>
      </c>
      <c r="F148" s="12" t="s">
        <v>501</v>
      </c>
      <c r="G148" s="12" t="s">
        <v>634</v>
      </c>
      <c r="H148" s="12" t="s">
        <v>1072</v>
      </c>
      <c r="I148" s="12" t="s">
        <v>25</v>
      </c>
      <c r="J148" s="12" t="s">
        <v>25</v>
      </c>
    </row>
    <row customHeight="1" ht="33" r="149">
      <c r="B149" s="12">
        <f>HYPERLINK("https://gesdoc.uis.edu.co/share/page/folder-details?nodeRef=workspace://SpacesStore/cb4c47eb-1d31-4aeb-807e-935fc26842a0","0018_2026002209_3140")</f>
      </c>
      <c r="C149" s="12" t="s">
        <v>142</v>
      </c>
      <c r="D149" s="13" t="s">
        <v>445</v>
      </c>
      <c r="E149" s="12" t="s">
        <v>494</v>
      </c>
      <c r="F149" s="12" t="s">
        <v>500</v>
      </c>
      <c r="G149" s="12" t="s">
        <v>635</v>
      </c>
      <c r="H149" s="12" t="s">
        <v>1073</v>
      </c>
      <c r="I149" s="12" t="s">
        <v>25</v>
      </c>
      <c r="J149" s="12" t="s">
        <v>25</v>
      </c>
    </row>
    <row customHeight="1" ht="33" r="150">
      <c r="B150" s="12">
        <f>HYPERLINK("https://gesdoc.uis.edu.co/share/page/folder-details?nodeRef=workspace://SpacesStore/473822e1-feb9-4fd5-9849-a3b57883221c","0018_2026002263_7069")</f>
      </c>
      <c r="C150" s="12" t="s">
        <v>143</v>
      </c>
      <c r="D150" s="13" t="s">
        <v>471</v>
      </c>
      <c r="E150" s="12" t="s">
        <v>494</v>
      </c>
      <c r="F150" s="12" t="s">
        <v>500</v>
      </c>
      <c r="G150" s="12" t="s">
        <v>636</v>
      </c>
      <c r="H150" s="12" t="s">
        <v>636</v>
      </c>
      <c r="I150" s="12" t="s">
        <v>25</v>
      </c>
      <c r="J150" s="12" t="s">
        <v>25</v>
      </c>
    </row>
    <row customHeight="1" ht="33" r="151">
      <c r="B151" s="12">
        <f>HYPERLINK("https://gesdoc.uis.edu.co/share/page/folder-details?nodeRef=workspace://SpacesStore/46df55db-b58e-4a08-b296-a74dfd083621","0298_2025000353_3160_EV016")</f>
      </c>
      <c r="C151" s="12" t="s">
        <v>144</v>
      </c>
      <c r="D151" s="13" t="s">
        <v>440</v>
      </c>
      <c r="E151" s="12" t="s">
        <v>494</v>
      </c>
      <c r="F151" s="12" t="s">
        <v>499</v>
      </c>
      <c r="G151" s="12" t="s">
        <v>637</v>
      </c>
      <c r="H151" s="12" t="s">
        <v>637</v>
      </c>
      <c r="I151" s="12" t="s">
        <v>1256</v>
      </c>
      <c r="J151" s="12" t="s">
        <v>1263</v>
      </c>
    </row>
    <row customHeight="1" ht="33" r="152">
      <c r="B152" s="12">
        <f>HYPERLINK("https://gesdoc.uis.edu.co/share/page/folder-details?nodeRef=workspace://SpacesStore/eec476cd-859d-4d40-a457-cb3faa250f6b","0298_2025000355_3160_EV017")</f>
      </c>
      <c r="C152" s="12" t="s">
        <v>145</v>
      </c>
      <c r="D152" s="13" t="s">
        <v>440</v>
      </c>
      <c r="E152" s="12" t="s">
        <v>494</v>
      </c>
      <c r="F152" s="12" t="s">
        <v>499</v>
      </c>
      <c r="G152" s="12" t="s">
        <v>638</v>
      </c>
      <c r="H152" s="12" t="s">
        <v>638</v>
      </c>
      <c r="I152" s="12" t="s">
        <v>1256</v>
      </c>
      <c r="J152" s="12" t="s">
        <v>1263</v>
      </c>
    </row>
    <row customHeight="1" ht="33" r="153">
      <c r="B153" s="12">
        <f>HYPERLINK("https://gesdoc.uis.edu.co/share/page/folder-details?nodeRef=workspace://SpacesStore/2fba2cba-56fd-4f32-829a-3a5b0e6edf18","0298_2025000364_1468_EV018")</f>
      </c>
      <c r="C153" s="12" t="s">
        <v>146</v>
      </c>
      <c r="D153" s="13" t="s">
        <v>440</v>
      </c>
      <c r="E153" s="12" t="s">
        <v>494</v>
      </c>
      <c r="F153" s="12" t="s">
        <v>499</v>
      </c>
      <c r="G153" s="12" t="s">
        <v>639</v>
      </c>
      <c r="H153" s="12" t="s">
        <v>639</v>
      </c>
      <c r="I153" s="12" t="s">
        <v>1256</v>
      </c>
      <c r="J153" s="12" t="s">
        <v>1263</v>
      </c>
    </row>
    <row customHeight="1" ht="33" r="154">
      <c r="B154" s="12">
        <f>HYPERLINK("https://gesdoc.uis.edu.co/share/page/folder-details?nodeRef=workspace://SpacesStore/c2ed3010-ad61-4ff9-9525-78c7d6e57d24","0298_2025000344_3160_EV014")</f>
      </c>
      <c r="C154" s="12" t="s">
        <v>147</v>
      </c>
      <c r="D154" s="13" t="s">
        <v>440</v>
      </c>
      <c r="E154" s="12" t="s">
        <v>494</v>
      </c>
      <c r="F154" s="12" t="s">
        <v>499</v>
      </c>
      <c r="G154" s="12" t="s">
        <v>640</v>
      </c>
      <c r="H154" s="12" t="s">
        <v>640</v>
      </c>
      <c r="I154" s="12" t="s">
        <v>1256</v>
      </c>
      <c r="J154" s="12" t="s">
        <v>1263</v>
      </c>
    </row>
    <row customHeight="1" ht="33" r="155">
      <c r="B155" s="12">
        <f>HYPERLINK("https://gesdoc.uis.edu.co/share/page/folder-details?nodeRef=workspace://SpacesStore/8f1967ca-7eee-4c0e-a6fb-1e7e26d7c345","0298_2025000313_3160_EV013")</f>
      </c>
      <c r="C155" s="12" t="s">
        <v>148</v>
      </c>
      <c r="D155" s="13" t="s">
        <v>440</v>
      </c>
      <c r="E155" s="12" t="s">
        <v>494</v>
      </c>
      <c r="F155" s="12" t="s">
        <v>499</v>
      </c>
      <c r="G155" s="12" t="s">
        <v>641</v>
      </c>
      <c r="H155" s="12" t="s">
        <v>641</v>
      </c>
      <c r="I155" s="12" t="s">
        <v>1256</v>
      </c>
      <c r="J155" s="12" t="s">
        <v>1263</v>
      </c>
    </row>
    <row customHeight="1" ht="33" r="156">
      <c r="B156" s="12">
        <f>HYPERLINK("https://gesdoc.uis.edu.co/share/page/folder-details?nodeRef=workspace://SpacesStore/89e9d477-5037-4053-8da5-42eafa181700","0298_2025000351_3160_EV015")</f>
      </c>
      <c r="C156" s="12" t="s">
        <v>149</v>
      </c>
      <c r="D156" s="13" t="s">
        <v>440</v>
      </c>
      <c r="E156" s="12" t="s">
        <v>494</v>
      </c>
      <c r="F156" s="12" t="s">
        <v>499</v>
      </c>
      <c r="G156" s="12" t="s">
        <v>642</v>
      </c>
      <c r="H156" s="12" t="s">
        <v>642</v>
      </c>
      <c r="I156" s="12" t="s">
        <v>1256</v>
      </c>
      <c r="J156" s="12" t="s">
        <v>1263</v>
      </c>
    </row>
    <row customHeight="1" ht="33" r="157">
      <c r="B157" s="12">
        <f>HYPERLINK("https://gesdoc.uis.edu.co/share/page/folder-details?nodeRef=workspace://SpacesStore/9d6cfe3c-5a3f-4e26-a985-87404ede9cbc","0298_2025000309_7062_EV012")</f>
      </c>
      <c r="C157" s="12" t="s">
        <v>150</v>
      </c>
      <c r="D157" s="13" t="s">
        <v>440</v>
      </c>
      <c r="E157" s="12" t="s">
        <v>494</v>
      </c>
      <c r="F157" s="12" t="s">
        <v>499</v>
      </c>
      <c r="G157" s="12" t="s">
        <v>643</v>
      </c>
      <c r="H157" s="12" t="s">
        <v>643</v>
      </c>
      <c r="I157" s="12" t="s">
        <v>1256</v>
      </c>
      <c r="J157" s="12" t="s">
        <v>1263</v>
      </c>
    </row>
    <row customHeight="1" ht="33" r="158">
      <c r="B158" s="12">
        <f>HYPERLINK("https://gesdoc.uis.edu.co/share/page/folder-details?nodeRef=workspace://SpacesStore/71f643da-ffd9-4d42-99b2-467a140dc909","0298_2025000374_1468_EV019")</f>
      </c>
      <c r="C158" s="12" t="s">
        <v>151</v>
      </c>
      <c r="D158" s="13" t="s">
        <v>440</v>
      </c>
      <c r="E158" s="12" t="s">
        <v>494</v>
      </c>
      <c r="F158" s="12" t="s">
        <v>499</v>
      </c>
      <c r="G158" s="12" t="s">
        <v>644</v>
      </c>
      <c r="H158" s="12" t="s">
        <v>644</v>
      </c>
      <c r="I158" s="12" t="s">
        <v>1256</v>
      </c>
      <c r="J158" s="12" t="s">
        <v>1263</v>
      </c>
    </row>
    <row customHeight="1" ht="33" r="159">
      <c r="B159" s="12">
        <f>HYPERLINK("https://gesdoc.uis.edu.co/share/page/folder-details?nodeRef=workspace://SpacesStore/e2022cc3-f173-4822-851b-342fc1528bf5","0018_2026002090_7003")</f>
      </c>
      <c r="C159" s="12" t="s">
        <v>152</v>
      </c>
      <c r="D159" s="13" t="s">
        <v>452</v>
      </c>
      <c r="E159" s="12" t="s">
        <v>494</v>
      </c>
      <c r="F159" s="12" t="s">
        <v>500</v>
      </c>
      <c r="G159" s="12" t="s">
        <v>645</v>
      </c>
      <c r="H159" s="12" t="s">
        <v>1074</v>
      </c>
      <c r="I159" s="12" t="s">
        <v>25</v>
      </c>
      <c r="J159" s="12" t="s">
        <v>25</v>
      </c>
    </row>
    <row customHeight="1" ht="33" r="160">
      <c r="B160" s="12">
        <f>HYPERLINK("https://gesdoc.uis.edu.co/share/page/folder-details?nodeRef=workspace://SpacesStore/cfcbe837-3d0d-4af9-b01b-b71990a305a5","0298_2025000398_1468_EV023")</f>
      </c>
      <c r="C160" s="12" t="s">
        <v>153</v>
      </c>
      <c r="D160" s="13" t="s">
        <v>440</v>
      </c>
      <c r="E160" s="12" t="s">
        <v>494</v>
      </c>
      <c r="F160" s="12" t="s">
        <v>499</v>
      </c>
      <c r="G160" s="12" t="s">
        <v>646</v>
      </c>
      <c r="H160" s="12" t="s">
        <v>646</v>
      </c>
      <c r="I160" s="12" t="s">
        <v>1256</v>
      </c>
      <c r="J160" s="12" t="s">
        <v>1263</v>
      </c>
    </row>
    <row customHeight="1" ht="33" r="161">
      <c r="B161" s="12">
        <f>HYPERLINK("https://gesdoc.uis.edu.co/share/page/folder-details?nodeRef=workspace://SpacesStore/7917dc7b-9213-4142-82bc-9027088b788f","0298_2025000397_3160_EV022")</f>
      </c>
      <c r="C161" s="12" t="s">
        <v>154</v>
      </c>
      <c r="D161" s="13" t="s">
        <v>440</v>
      </c>
      <c r="E161" s="12" t="s">
        <v>494</v>
      </c>
      <c r="F161" s="12" t="s">
        <v>499</v>
      </c>
      <c r="G161" s="12" t="s">
        <v>647</v>
      </c>
      <c r="H161" s="12" t="s">
        <v>1075</v>
      </c>
      <c r="I161" s="12" t="s">
        <v>1256</v>
      </c>
      <c r="J161" s="12" t="s">
        <v>1263</v>
      </c>
    </row>
    <row customHeight="1" ht="33" r="162">
      <c r="B162" s="12">
        <f>HYPERLINK("https://gesdoc.uis.edu.co/share/page/folder-details?nodeRef=workspace://SpacesStore/9d24e987-705c-4c13-90d7-2a57fa719d44","0298_2025000200_9102_EV005")</f>
      </c>
      <c r="C162" s="12" t="s">
        <v>155</v>
      </c>
      <c r="D162" s="13" t="s">
        <v>440</v>
      </c>
      <c r="E162" s="12" t="s">
        <v>494</v>
      </c>
      <c r="F162" s="12" t="s">
        <v>499</v>
      </c>
      <c r="G162" s="12" t="s">
        <v>648</v>
      </c>
      <c r="H162" s="12" t="s">
        <v>648</v>
      </c>
      <c r="I162" s="12" t="s">
        <v>1258</v>
      </c>
      <c r="J162" s="12" t="s">
        <v>1264</v>
      </c>
    </row>
    <row customHeight="1" ht="33" r="163">
      <c r="B163" s="12">
        <f>HYPERLINK("https://gesdoc.uis.edu.co/share/page/folder-details?nodeRef=workspace://SpacesStore/36b7b48c-a7a6-4545-a368-c04dc43f4522","0298_2025000098_7062_EV004")</f>
      </c>
      <c r="C163" s="12" t="s">
        <v>156</v>
      </c>
      <c r="D163" s="13" t="s">
        <v>440</v>
      </c>
      <c r="E163" s="12" t="s">
        <v>494</v>
      </c>
      <c r="F163" s="12" t="s">
        <v>499</v>
      </c>
      <c r="G163" s="12" t="s">
        <v>649</v>
      </c>
      <c r="H163" s="12" t="s">
        <v>649</v>
      </c>
      <c r="I163" s="12" t="s">
        <v>1258</v>
      </c>
      <c r="J163" s="12" t="s">
        <v>1264</v>
      </c>
    </row>
    <row customHeight="1" ht="33" r="164">
      <c r="B164" s="12">
        <f>HYPERLINK("https://gesdoc.uis.edu.co/share/page/folder-details?nodeRef=workspace://SpacesStore/b498d439-030b-45ee-aef5-feafa237c505","0018_2026002325_1454")</f>
      </c>
      <c r="C164" s="12" t="s">
        <v>157</v>
      </c>
      <c r="D164" s="13" t="s">
        <v>443</v>
      </c>
      <c r="E164" s="12" t="s">
        <v>494</v>
      </c>
      <c r="F164" s="12" t="s">
        <v>500</v>
      </c>
      <c r="G164" s="12" t="s">
        <v>650</v>
      </c>
      <c r="H164" s="12" t="s">
        <v>1076</v>
      </c>
      <c r="I164" s="12" t="s">
        <v>25</v>
      </c>
      <c r="J164" s="12" t="s">
        <v>25</v>
      </c>
    </row>
    <row customHeight="1" ht="33" r="165">
      <c r="B165" s="12">
        <f>HYPERLINK("https://gesdoc.uis.edu.co/share/page/folder-details?nodeRef=workspace://SpacesStore/ba1004f3-45c2-49df-ba06-7267dc4700a4","0234_2026010836_2240")</f>
      </c>
      <c r="C165" s="12" t="s">
        <v>158</v>
      </c>
      <c r="D165" s="13" t="s">
        <v>438</v>
      </c>
      <c r="E165" s="12" t="s">
        <v>494</v>
      </c>
      <c r="F165" s="12" t="s">
        <v>501</v>
      </c>
      <c r="G165" s="12" t="s">
        <v>651</v>
      </c>
      <c r="H165" s="12" t="s">
        <v>651</v>
      </c>
      <c r="I165" s="12" t="s">
        <v>25</v>
      </c>
      <c r="J165" s="12" t="s">
        <v>25</v>
      </c>
    </row>
    <row customHeight="1" ht="33" r="166">
      <c r="B166" s="12">
        <f>HYPERLINK("https://gesdoc.uis.edu.co/share/page/folder-details?nodeRef=workspace://SpacesStore/8feaf4de-272a-4bef-8abf-a1df09e18ca2","0018_2026002292_3140")</f>
      </c>
      <c r="C166" s="12" t="s">
        <v>159</v>
      </c>
      <c r="D166" s="13" t="s">
        <v>445</v>
      </c>
      <c r="E166" s="12" t="s">
        <v>494</v>
      </c>
      <c r="F166" s="12" t="s">
        <v>500</v>
      </c>
      <c r="G166" s="12" t="s">
        <v>652</v>
      </c>
      <c r="H166" s="12" t="s">
        <v>652</v>
      </c>
      <c r="I166" s="12" t="s">
        <v>25</v>
      </c>
      <c r="J166" s="12" t="s">
        <v>25</v>
      </c>
    </row>
    <row customHeight="1" ht="33" r="167">
      <c r="B167" s="12">
        <f>HYPERLINK("https://gesdoc.uis.edu.co/share/page/folder-details?nodeRef=workspace://SpacesStore/06d1ce96-72e6-4301-8d7d-ae246c09297e","0018_2026001435_7021")</f>
      </c>
      <c r="C167" s="12" t="s">
        <v>160</v>
      </c>
      <c r="D167" s="13" t="s">
        <v>467</v>
      </c>
      <c r="E167" s="12" t="s">
        <v>494</v>
      </c>
      <c r="F167" s="12" t="s">
        <v>500</v>
      </c>
      <c r="G167" s="12" t="s">
        <v>653</v>
      </c>
      <c r="H167" s="12" t="s">
        <v>1077</v>
      </c>
      <c r="I167" s="12" t="s">
        <v>25</v>
      </c>
      <c r="J167" s="12" t="s">
        <v>25</v>
      </c>
    </row>
    <row customHeight="1" ht="33" r="168">
      <c r="B168" s="12">
        <f>HYPERLINK("https://gesdoc.uis.edu.co/share/page/folder-details?nodeRef=workspace://SpacesStore/1d8cf2cd-8b27-4193-89f4-f943c80828c3","0018_2026002223_3140")</f>
      </c>
      <c r="C168" s="12" t="s">
        <v>161</v>
      </c>
      <c r="D168" s="13" t="s">
        <v>445</v>
      </c>
      <c r="E168" s="12" t="s">
        <v>494</v>
      </c>
      <c r="F168" s="12" t="s">
        <v>500</v>
      </c>
      <c r="G168" s="12" t="s">
        <v>654</v>
      </c>
      <c r="H168" s="12" t="s">
        <v>654</v>
      </c>
      <c r="I168" s="12" t="s">
        <v>25</v>
      </c>
      <c r="J168" s="12" t="s">
        <v>25</v>
      </c>
    </row>
    <row customHeight="1" ht="33" r="169">
      <c r="B169" s="12">
        <f>HYPERLINK("https://gesdoc.uis.edu.co/share/page/folder-details?nodeRef=workspace://SpacesStore/7d529ee5-5596-4f64-afc6-2d013307e933","0018_2026002294_3140")</f>
      </c>
      <c r="C169" s="12" t="s">
        <v>162</v>
      </c>
      <c r="D169" s="13" t="s">
        <v>445</v>
      </c>
      <c r="E169" s="12" t="s">
        <v>494</v>
      </c>
      <c r="F169" s="12" t="s">
        <v>500</v>
      </c>
      <c r="G169" s="12" t="s">
        <v>655</v>
      </c>
      <c r="H169" s="12" t="s">
        <v>655</v>
      </c>
      <c r="I169" s="12" t="s">
        <v>25</v>
      </c>
      <c r="J169" s="12" t="s">
        <v>25</v>
      </c>
    </row>
    <row customHeight="1" ht="33" r="170">
      <c r="B170" s="12">
        <f>HYPERLINK("https://gesdoc.uis.edu.co/share/page/folder-details?nodeRef=workspace://SpacesStore/81580e28-bff9-47df-a180-e52fbc304030","0018_2026002265_7025")</f>
      </c>
      <c r="C170" s="12" t="s">
        <v>163</v>
      </c>
      <c r="D170" s="13" t="s">
        <v>446</v>
      </c>
      <c r="E170" s="12" t="s">
        <v>494</v>
      </c>
      <c r="F170" s="12" t="s">
        <v>500</v>
      </c>
      <c r="G170" s="12" t="s">
        <v>656</v>
      </c>
      <c r="H170" s="12" t="s">
        <v>1078</v>
      </c>
      <c r="I170" s="12" t="s">
        <v>25</v>
      </c>
      <c r="J170" s="12" t="s">
        <v>25</v>
      </c>
    </row>
    <row customHeight="1" ht="33" r="171">
      <c r="B171" s="12">
        <f>HYPERLINK("https://gesdoc.uis.edu.co/share/page/folder-details?nodeRef=workspace://SpacesStore/752220f1-df40-4f57-b479-3c70d3f52573","0018_2026002224_3140")</f>
      </c>
      <c r="C171" s="12" t="s">
        <v>164</v>
      </c>
      <c r="D171" s="13" t="s">
        <v>445</v>
      </c>
      <c r="E171" s="12" t="s">
        <v>494</v>
      </c>
      <c r="F171" s="12" t="s">
        <v>500</v>
      </c>
      <c r="G171" s="12" t="s">
        <v>657</v>
      </c>
      <c r="H171" s="12" t="s">
        <v>1079</v>
      </c>
      <c r="I171" s="12" t="s">
        <v>25</v>
      </c>
      <c r="J171" s="12" t="s">
        <v>25</v>
      </c>
    </row>
    <row customHeight="1" ht="33" r="172">
      <c r="B172" s="12">
        <f>HYPERLINK("https://gesdoc.uis.edu.co/share/page/folder-details?nodeRef=workspace://SpacesStore/63a72588-4262-4f31-bcc3-13d07604c5d3","0018_2026002138_7025")</f>
      </c>
      <c r="C172" s="12" t="s">
        <v>165</v>
      </c>
      <c r="D172" s="13" t="s">
        <v>446</v>
      </c>
      <c r="E172" s="12" t="s">
        <v>494</v>
      </c>
      <c r="F172" s="12" t="s">
        <v>500</v>
      </c>
      <c r="G172" s="12" t="s">
        <v>658</v>
      </c>
      <c r="H172" s="12" t="s">
        <v>1080</v>
      </c>
      <c r="I172" s="12" t="s">
        <v>25</v>
      </c>
      <c r="J172" s="12" t="s">
        <v>25</v>
      </c>
    </row>
    <row customHeight="1" ht="33" r="173">
      <c r="B173" s="12">
        <f>HYPERLINK("https://gesdoc.uis.edu.co/share/page/folder-details?nodeRef=workspace://SpacesStore/7b37e4eb-a27f-4938-a866-e92730858a5f","0018_2026002299_7025")</f>
      </c>
      <c r="C173" s="12" t="s">
        <v>166</v>
      </c>
      <c r="D173" s="13" t="s">
        <v>446</v>
      </c>
      <c r="E173" s="12" t="s">
        <v>494</v>
      </c>
      <c r="F173" s="12" t="s">
        <v>500</v>
      </c>
      <c r="G173" s="12" t="s">
        <v>659</v>
      </c>
      <c r="H173" s="12" t="s">
        <v>1081</v>
      </c>
      <c r="I173" s="12" t="s">
        <v>25</v>
      </c>
      <c r="J173" s="12" t="s">
        <v>25</v>
      </c>
    </row>
    <row customHeight="1" ht="33" r="174">
      <c r="B174" s="12">
        <f>HYPERLINK("https://gesdoc.uis.edu.co/share/page/folder-details?nodeRef=workspace://SpacesStore/0e2063dd-77ef-47f1-98ce-8d1b12d47c6c","0018_2026002320_7025")</f>
      </c>
      <c r="C174" s="12" t="s">
        <v>167</v>
      </c>
      <c r="D174" s="13" t="s">
        <v>446</v>
      </c>
      <c r="E174" s="12" t="s">
        <v>494</v>
      </c>
      <c r="F174" s="12" t="s">
        <v>500</v>
      </c>
      <c r="G174" s="12" t="s">
        <v>660</v>
      </c>
      <c r="H174" s="12" t="s">
        <v>1082</v>
      </c>
      <c r="I174" s="12" t="s">
        <v>25</v>
      </c>
      <c r="J174" s="12" t="s">
        <v>25</v>
      </c>
    </row>
    <row customHeight="1" ht="33" r="175">
      <c r="B175" s="12">
        <f>HYPERLINK("https://gesdoc.uis.edu.co/share/page/folder-details?nodeRef=workspace://SpacesStore/3144fed2-777e-4d70-8620-06cf5b7ca3b6","0298_2026000250_3160_EV108")</f>
      </c>
      <c r="C175" s="12" t="s">
        <v>168</v>
      </c>
      <c r="D175" s="13" t="s">
        <v>440</v>
      </c>
      <c r="E175" s="12" t="s">
        <v>494</v>
      </c>
      <c r="F175" s="12" t="s">
        <v>499</v>
      </c>
      <c r="G175" s="12" t="s">
        <v>661</v>
      </c>
      <c r="H175" s="12" t="s">
        <v>1083</v>
      </c>
      <c r="I175" s="12" t="s">
        <v>1258</v>
      </c>
      <c r="J175" s="12" t="s">
        <v>1266</v>
      </c>
    </row>
    <row customHeight="1" ht="33" r="176">
      <c r="B176" s="12">
        <f>HYPERLINK("https://gesdoc.uis.edu.co/share/page/folder-details?nodeRef=workspace://SpacesStore/1a45eadc-8de4-45e4-8e7d-9d1809e847c0","0020_2026000270_7983")</f>
      </c>
      <c r="C176" s="12" t="s">
        <v>169</v>
      </c>
      <c r="D176" s="13" t="s">
        <v>446</v>
      </c>
      <c r="E176" s="12" t="s">
        <v>494</v>
      </c>
      <c r="F176" s="12" t="s">
        <v>495</v>
      </c>
      <c r="G176" s="12" t="s">
        <v>662</v>
      </c>
      <c r="H176" s="12" t="s">
        <v>1084</v>
      </c>
      <c r="I176" s="12" t="s">
        <v>25</v>
      </c>
      <c r="J176" s="12" t="s">
        <v>25</v>
      </c>
    </row>
    <row customHeight="1" ht="33" r="177">
      <c r="B177" s="12">
        <f>HYPERLINK("https://gesdoc.uis.edu.co/share/page/folder-details?nodeRef=workspace://SpacesStore/9f4f1082-1dbe-4153-9e71-b488c4f941a3","0019_2026000099_1464")</f>
      </c>
      <c r="C177" s="12" t="s">
        <v>170</v>
      </c>
      <c r="D177" s="13" t="s">
        <v>440</v>
      </c>
      <c r="E177" s="12" t="s">
        <v>494</v>
      </c>
      <c r="F177" s="12" t="s">
        <v>498</v>
      </c>
      <c r="G177" s="12" t="s">
        <v>663</v>
      </c>
      <c r="H177" s="12" t="s">
        <v>1085</v>
      </c>
      <c r="I177" s="12" t="s">
        <v>25</v>
      </c>
      <c r="J177" s="12" t="s">
        <v>25</v>
      </c>
    </row>
    <row customHeight="1" ht="33" r="178">
      <c r="B178" s="12">
        <f>HYPERLINK("https://gesdoc.uis.edu.co/share/page/folder-details?nodeRef=workspace://SpacesStore/42d96a29-814b-4de3-a88a-abd113278bf7","0019_2026000092_1464")</f>
      </c>
      <c r="C178" s="12" t="s">
        <v>171</v>
      </c>
      <c r="D178" s="13" t="s">
        <v>440</v>
      </c>
      <c r="E178" s="12" t="s">
        <v>494</v>
      </c>
      <c r="F178" s="12" t="s">
        <v>498</v>
      </c>
      <c r="G178" s="12" t="s">
        <v>664</v>
      </c>
      <c r="H178" s="12" t="s">
        <v>662</v>
      </c>
      <c r="I178" s="12" t="s">
        <v>25</v>
      </c>
      <c r="J178" s="12" t="s">
        <v>25</v>
      </c>
    </row>
    <row customHeight="1" ht="33" r="179">
      <c r="B179" s="12">
        <f>HYPERLINK("https://gesdoc.uis.edu.co/share/page/folder-details?nodeRef=workspace://SpacesStore/c33dc11e-c2e4-4c6c-96e5-bea146777bd2","0018_2026002328_6863")</f>
      </c>
      <c r="C179" s="12" t="s">
        <v>172</v>
      </c>
      <c r="D179" s="13" t="s">
        <v>472</v>
      </c>
      <c r="E179" s="12" t="s">
        <v>494</v>
      </c>
      <c r="F179" s="12" t="s">
        <v>500</v>
      </c>
      <c r="G179" s="12" t="s">
        <v>665</v>
      </c>
      <c r="H179" s="12" t="s">
        <v>1086</v>
      </c>
      <c r="I179" s="12" t="s">
        <v>25</v>
      </c>
      <c r="J179" s="12" t="s">
        <v>25</v>
      </c>
    </row>
    <row customHeight="1" ht="33" r="180">
      <c r="B180" s="12">
        <f>HYPERLINK("https://gesdoc.uis.edu.co/share/page/folder-details?nodeRef=workspace://SpacesStore/5ac188e7-8bda-43d4-a679-746183fd07f7","0018_2026002323_7032")</f>
      </c>
      <c r="C180" s="12" t="s">
        <v>173</v>
      </c>
      <c r="D180" s="13" t="s">
        <v>443</v>
      </c>
      <c r="E180" s="12" t="s">
        <v>494</v>
      </c>
      <c r="F180" s="12" t="s">
        <v>500</v>
      </c>
      <c r="G180" s="12" t="s">
        <v>666</v>
      </c>
      <c r="H180" s="12" t="s">
        <v>1087</v>
      </c>
      <c r="I180" s="12" t="s">
        <v>25</v>
      </c>
      <c r="J180" s="12" t="s">
        <v>25</v>
      </c>
    </row>
    <row customHeight="1" ht="33" r="181">
      <c r="B181" s="12">
        <f>HYPERLINK("https://gesdoc.uis.edu.co/share/page/folder-details?nodeRef=workspace://SpacesStore/defdb658-84e2-4f7d-b42a-3774fb921219","0018_2026002322_8319")</f>
      </c>
      <c r="C181" s="12" t="s">
        <v>174</v>
      </c>
      <c r="D181" s="13" t="s">
        <v>450</v>
      </c>
      <c r="E181" s="12" t="s">
        <v>494</v>
      </c>
      <c r="F181" s="12" t="s">
        <v>500</v>
      </c>
      <c r="G181" s="12" t="s">
        <v>667</v>
      </c>
      <c r="H181" s="12" t="s">
        <v>1088</v>
      </c>
      <c r="I181" s="12" t="s">
        <v>25</v>
      </c>
      <c r="J181" s="12" t="s">
        <v>25</v>
      </c>
    </row>
    <row customHeight="1" ht="33" r="182">
      <c r="B182" s="12">
        <f>HYPERLINK("https://gesdoc.uis.edu.co/share/page/folder-details?nodeRef=workspace://SpacesStore/c2b77f56-7a2c-4c65-9cec-5d4cda2765d3","0018_2026002271_1454")</f>
      </c>
      <c r="C182" s="12" t="s">
        <v>175</v>
      </c>
      <c r="D182" s="13" t="s">
        <v>443</v>
      </c>
      <c r="E182" s="12" t="s">
        <v>494</v>
      </c>
      <c r="F182" s="12" t="s">
        <v>500</v>
      </c>
      <c r="G182" s="12" t="s">
        <v>661</v>
      </c>
      <c r="H182" s="12" t="s">
        <v>1089</v>
      </c>
      <c r="I182" s="12" t="s">
        <v>25</v>
      </c>
      <c r="J182" s="12" t="s">
        <v>25</v>
      </c>
    </row>
    <row customHeight="1" ht="33" r="183">
      <c r="B183" s="12">
        <f>HYPERLINK("https://gesdoc.uis.edu.co/share/page/folder-details?nodeRef=workspace://SpacesStore/ae288f5c-392c-4ce1-bd30-49a69f8bae9a","0018_2026002269_1454")</f>
      </c>
      <c r="C183" s="12" t="s">
        <v>176</v>
      </c>
      <c r="D183" s="13" t="s">
        <v>443</v>
      </c>
      <c r="E183" s="12" t="s">
        <v>494</v>
      </c>
      <c r="F183" s="12" t="s">
        <v>500</v>
      </c>
      <c r="G183" s="12" t="s">
        <v>668</v>
      </c>
      <c r="H183" s="12" t="s">
        <v>1090</v>
      </c>
      <c r="I183" s="12" t="s">
        <v>25</v>
      </c>
      <c r="J183" s="12" t="s">
        <v>25</v>
      </c>
    </row>
    <row customHeight="1" ht="33" r="184">
      <c r="B184" s="12">
        <f>HYPERLINK("https://gesdoc.uis.edu.co/share/page/folder-details?nodeRef=workspace://SpacesStore/59d1e0f6-3b97-4730-939e-a052ed0d6736","0018_2026002338_7016")</f>
      </c>
      <c r="C184" s="12" t="s">
        <v>177</v>
      </c>
      <c r="D184" s="13" t="s">
        <v>456</v>
      </c>
      <c r="E184" s="12" t="s">
        <v>494</v>
      </c>
      <c r="F184" s="12" t="s">
        <v>500</v>
      </c>
      <c r="G184" s="12" t="s">
        <v>669</v>
      </c>
      <c r="H184" s="12" t="s">
        <v>1091</v>
      </c>
      <c r="I184" s="12" t="s">
        <v>25</v>
      </c>
      <c r="J184" s="12" t="s">
        <v>25</v>
      </c>
    </row>
    <row customHeight="1" ht="33" r="185">
      <c r="B185" s="12">
        <f>HYPERLINK("https://gesdoc.uis.edu.co/share/page/folder-details?nodeRef=workspace://SpacesStore/b2e6835b-53ce-46a8-9794-11887aea4f8c","0374_2026000026_4516")</f>
      </c>
      <c r="C185" s="12" t="s">
        <v>178</v>
      </c>
      <c r="D185" s="13" t="s">
        <v>439</v>
      </c>
      <c r="E185" s="12" t="s">
        <v>494</v>
      </c>
      <c r="F185" s="12" t="s">
        <v>497</v>
      </c>
      <c r="G185" s="12" t="s">
        <v>670</v>
      </c>
      <c r="H185" s="12" t="s">
        <v>670</v>
      </c>
      <c r="I185" s="12" t="s">
        <v>25</v>
      </c>
      <c r="J185" s="12" t="s">
        <v>25</v>
      </c>
    </row>
    <row customHeight="1" ht="33" r="186">
      <c r="B186" s="12">
        <f>HYPERLINK("https://gesdoc.uis.edu.co/share/page/folder-details?nodeRef=workspace://SpacesStore/5301f463-6710-4ebc-8106-ef78a296f634","0049_2026000021_8052")</f>
      </c>
      <c r="C186" s="12" t="s">
        <v>179</v>
      </c>
      <c r="D186" s="13" t="s">
        <v>439</v>
      </c>
      <c r="E186" s="12" t="s">
        <v>494</v>
      </c>
      <c r="F186" s="12" t="s">
        <v>505</v>
      </c>
      <c r="G186" s="12" t="s">
        <v>671</v>
      </c>
      <c r="H186" s="12" t="s">
        <v>671</v>
      </c>
      <c r="I186" s="12" t="s">
        <v>25</v>
      </c>
      <c r="J186" s="12" t="s">
        <v>25</v>
      </c>
    </row>
    <row customHeight="1" ht="33" r="187">
      <c r="B187" s="12">
        <f>HYPERLINK("https://gesdoc.uis.edu.co/share/page/folder-details?nodeRef=workspace://SpacesStore/4183bdd2-74ff-43c9-9e10-8d3ef5eb6260","2026010839_7930")</f>
      </c>
      <c r="C187" s="12" t="s">
        <v>25</v>
      </c>
      <c r="D187" s="13" t="s">
        <v>464</v>
      </c>
      <c r="E187" s="12" t="s">
        <v>494</v>
      </c>
      <c r="F187" s="12" t="s">
        <v>501</v>
      </c>
      <c r="G187" s="12" t="s">
        <v>672</v>
      </c>
      <c r="H187" s="12" t="s">
        <v>1092</v>
      </c>
      <c r="I187" s="12" t="s">
        <v>25</v>
      </c>
      <c r="J187" s="12" t="s">
        <v>25</v>
      </c>
    </row>
    <row customHeight="1" ht="33" r="188">
      <c r="B188" s="12">
        <f>HYPERLINK("https://gesdoc.uis.edu.co/share/page/folder-details?nodeRef=workspace://SpacesStore/9ecb39e2-7001-4cd9-b60f-e73b0750b412","0018_2026002365_9291")</f>
      </c>
      <c r="C188" s="12" t="s">
        <v>180</v>
      </c>
      <c r="D188" s="13" t="s">
        <v>462</v>
      </c>
      <c r="E188" s="12" t="s">
        <v>494</v>
      </c>
      <c r="F188" s="12" t="s">
        <v>500</v>
      </c>
      <c r="G188" s="12" t="s">
        <v>673</v>
      </c>
      <c r="H188" s="12" t="s">
        <v>1093</v>
      </c>
      <c r="I188" s="12" t="s">
        <v>25</v>
      </c>
      <c r="J188" s="12" t="s">
        <v>25</v>
      </c>
    </row>
    <row customHeight="1" ht="33" r="189">
      <c r="B189" s="12">
        <f>HYPERLINK("https://gesdoc.uis.edu.co/share/page/folder-details?nodeRef=workspace://SpacesStore/b1f2a5ef-a807-4b6c-86d3-e83240754ef6","0018_2026002415_7442")</f>
      </c>
      <c r="C189" s="12" t="s">
        <v>181</v>
      </c>
      <c r="D189" s="13" t="s">
        <v>456</v>
      </c>
      <c r="E189" s="12" t="s">
        <v>494</v>
      </c>
      <c r="F189" s="12" t="s">
        <v>500</v>
      </c>
      <c r="G189" s="12" t="s">
        <v>674</v>
      </c>
      <c r="H189" s="12" t="s">
        <v>1094</v>
      </c>
      <c r="I189" s="12" t="s">
        <v>25</v>
      </c>
      <c r="J189" s="12" t="s">
        <v>25</v>
      </c>
    </row>
    <row customHeight="1" ht="33" r="190">
      <c r="B190" s="12">
        <f>HYPERLINK("https://gesdoc.uis.edu.co/share/page/folder-details?nodeRef=workspace://SpacesStore/28f2627b-f00f-4bb3-9b8f-69697e887a99","2026010981_2250")</f>
      </c>
      <c r="C190" s="12" t="s">
        <v>25</v>
      </c>
      <c r="D190" s="13" t="s">
        <v>464</v>
      </c>
      <c r="E190" s="12" t="s">
        <v>494</v>
      </c>
      <c r="F190" s="12" t="s">
        <v>501</v>
      </c>
      <c r="G190" s="12" t="s">
        <v>675</v>
      </c>
      <c r="H190" s="12" t="s">
        <v>675</v>
      </c>
      <c r="I190" s="12" t="s">
        <v>25</v>
      </c>
      <c r="J190" s="12" t="s">
        <v>25</v>
      </c>
    </row>
    <row customHeight="1" ht="33" r="191">
      <c r="B191" s="12">
        <f>HYPERLINK("https://gesdoc.uis.edu.co/share/page/folder-details?nodeRef=workspace://SpacesStore/b84a6bca-d16e-4d2f-9e62-b42920ef8382","2026010987_2250")</f>
      </c>
      <c r="C191" s="12" t="s">
        <v>25</v>
      </c>
      <c r="D191" s="13" t="s">
        <v>464</v>
      </c>
      <c r="E191" s="12" t="s">
        <v>494</v>
      </c>
      <c r="F191" s="12" t="s">
        <v>501</v>
      </c>
      <c r="G191" s="12" t="s">
        <v>675</v>
      </c>
      <c r="H191" s="12" t="s">
        <v>675</v>
      </c>
      <c r="I191" s="12" t="s">
        <v>25</v>
      </c>
      <c r="J191" s="12" t="s">
        <v>25</v>
      </c>
    </row>
    <row customHeight="1" ht="33" r="192">
      <c r="B192" s="12">
        <f>HYPERLINK("https://gesdoc.uis.edu.co/share/page/folder-details?nodeRef=workspace://SpacesStore/3d6c7b9b-1765-4f15-865f-ab7219be48e4","0020_2026000011_7912")</f>
      </c>
      <c r="C192" s="12" t="s">
        <v>182</v>
      </c>
      <c r="D192" s="13" t="s">
        <v>442</v>
      </c>
      <c r="E192" s="12" t="s">
        <v>494</v>
      </c>
      <c r="F192" s="12" t="s">
        <v>495</v>
      </c>
      <c r="G192" s="12" t="s">
        <v>676</v>
      </c>
      <c r="H192" s="12" t="s">
        <v>676</v>
      </c>
      <c r="I192" s="12" t="s">
        <v>25</v>
      </c>
      <c r="J192" s="12" t="s">
        <v>25</v>
      </c>
    </row>
    <row customHeight="1" ht="33" r="193">
      <c r="B193" s="12">
        <f>HYPERLINK("https://gesdoc.uis.edu.co/share/page/folder-details?nodeRef=workspace://SpacesStore/1982895f-608c-424b-ba15-830861ab1c68","0020_2026000028_7912")</f>
      </c>
      <c r="C193" s="12" t="s">
        <v>183</v>
      </c>
      <c r="D193" s="13" t="s">
        <v>442</v>
      </c>
      <c r="E193" s="12" t="s">
        <v>494</v>
      </c>
      <c r="F193" s="12" t="s">
        <v>495</v>
      </c>
      <c r="G193" s="12" t="s">
        <v>677</v>
      </c>
      <c r="H193" s="12" t="s">
        <v>1095</v>
      </c>
      <c r="I193" s="12" t="s">
        <v>25</v>
      </c>
      <c r="J193" s="12" t="s">
        <v>25</v>
      </c>
    </row>
    <row customHeight="1" ht="33" r="194">
      <c r="B194" s="12">
        <f>HYPERLINK("https://gesdoc.uis.edu.co/share/page/folder-details?nodeRef=workspace://SpacesStore/c4aac3dd-7afb-4a7e-8124-6047448cb39e","2026011218_2250")</f>
      </c>
      <c r="C194" s="12" t="s">
        <v>25</v>
      </c>
      <c r="D194" s="13" t="s">
        <v>464</v>
      </c>
      <c r="E194" s="12" t="s">
        <v>494</v>
      </c>
      <c r="F194" s="12" t="s">
        <v>501</v>
      </c>
      <c r="G194" s="12" t="s">
        <v>678</v>
      </c>
      <c r="H194" s="12" t="s">
        <v>1095</v>
      </c>
      <c r="I194" s="12" t="s">
        <v>25</v>
      </c>
      <c r="J194" s="12" t="s">
        <v>25</v>
      </c>
    </row>
    <row customHeight="1" ht="33" r="195">
      <c r="B195" s="12">
        <f>HYPERLINK("https://gesdoc.uis.edu.co/share/page/folder-details?nodeRef=workspace://SpacesStore/6ff57052-fe6d-416b-9a23-db777bc10b52","0018_2026001591_7912")</f>
      </c>
      <c r="C195" s="12" t="s">
        <v>184</v>
      </c>
      <c r="D195" s="13" t="s">
        <v>442</v>
      </c>
      <c r="E195" s="12" t="s">
        <v>494</v>
      </c>
      <c r="F195" s="12" t="s">
        <v>500</v>
      </c>
      <c r="G195" s="12" t="s">
        <v>679</v>
      </c>
      <c r="H195" s="12" t="s">
        <v>679</v>
      </c>
      <c r="I195" s="12" t="s">
        <v>25</v>
      </c>
      <c r="J195" s="12" t="s">
        <v>25</v>
      </c>
    </row>
    <row customHeight="1" ht="33" r="196">
      <c r="B196" s="12">
        <f>HYPERLINK("https://gesdoc.uis.edu.co/share/page/folder-details?nodeRef=workspace://SpacesStore/9b00c9f2-f59c-47ab-a937-1f5bcb16228b","0019_2026000034_7912")</f>
      </c>
      <c r="C196" s="12" t="s">
        <v>185</v>
      </c>
      <c r="D196" s="13" t="s">
        <v>442</v>
      </c>
      <c r="E196" s="12" t="s">
        <v>494</v>
      </c>
      <c r="F196" s="12" t="s">
        <v>498</v>
      </c>
      <c r="G196" s="12" t="s">
        <v>680</v>
      </c>
      <c r="H196" s="12" t="s">
        <v>1096</v>
      </c>
      <c r="I196" s="12" t="s">
        <v>25</v>
      </c>
      <c r="J196" s="12" t="s">
        <v>25</v>
      </c>
    </row>
    <row customHeight="1" ht="33" r="197">
      <c r="B197" s="12">
        <f>HYPERLINK("https://gesdoc.uis.edu.co/share/page/folder-details?nodeRef=workspace://SpacesStore/2df8c78f-4864-4161-bfdb-fb66500f50eb","0450_2026000012_7912")</f>
      </c>
      <c r="C197" s="12" t="s">
        <v>186</v>
      </c>
      <c r="D197" s="13" t="s">
        <v>442</v>
      </c>
      <c r="E197" s="12" t="s">
        <v>494</v>
      </c>
      <c r="F197" s="12" t="s">
        <v>502</v>
      </c>
      <c r="G197" s="12" t="s">
        <v>681</v>
      </c>
      <c r="H197" s="12" t="s">
        <v>681</v>
      </c>
      <c r="I197" s="12" t="s">
        <v>25</v>
      </c>
      <c r="J197" s="12" t="s">
        <v>25</v>
      </c>
    </row>
    <row customHeight="1" ht="33" r="198">
      <c r="B198" s="12">
        <f>HYPERLINK("https://gesdoc.uis.edu.co/share/page/folder-details?nodeRef=workspace://SpacesStore/b047b711-55e7-402b-9755-d66e1f392735","0018_2026002401_7016")</f>
      </c>
      <c r="C198" s="12" t="s">
        <v>187</v>
      </c>
      <c r="D198" s="13" t="s">
        <v>456</v>
      </c>
      <c r="E198" s="12" t="s">
        <v>494</v>
      </c>
      <c r="F198" s="12" t="s">
        <v>500</v>
      </c>
      <c r="G198" s="12" t="s">
        <v>682</v>
      </c>
      <c r="H198" s="12" t="s">
        <v>681</v>
      </c>
      <c r="I198" s="12" t="s">
        <v>25</v>
      </c>
      <c r="J198" s="12" t="s">
        <v>25</v>
      </c>
    </row>
    <row customHeight="1" ht="33" r="199">
      <c r="B199" s="12">
        <f>HYPERLINK("https://gesdoc.uis.edu.co/share/page/folder-details?nodeRef=workspace://SpacesStore/fe11af4e-e553-4c65-b453-8f0867d12d2c","0450_2026000085_7912")</f>
      </c>
      <c r="C199" s="12" t="s">
        <v>188</v>
      </c>
      <c r="D199" s="13" t="s">
        <v>442</v>
      </c>
      <c r="E199" s="12" t="s">
        <v>494</v>
      </c>
      <c r="F199" s="12" t="s">
        <v>502</v>
      </c>
      <c r="G199" s="12" t="s">
        <v>681</v>
      </c>
      <c r="H199" s="12" t="s">
        <v>681</v>
      </c>
      <c r="I199" s="12" t="s">
        <v>25</v>
      </c>
      <c r="J199" s="12" t="s">
        <v>25</v>
      </c>
    </row>
    <row customHeight="1" ht="33" r="200">
      <c r="B200" s="12">
        <f>HYPERLINK("https://gesdoc.uis.edu.co/share/page/folder-details?nodeRef=workspace://SpacesStore/540e34f7-8d9a-4c4d-a313-486375a03194","0018_2026002400_7016")</f>
      </c>
      <c r="C200" s="12" t="s">
        <v>189</v>
      </c>
      <c r="D200" s="13" t="s">
        <v>456</v>
      </c>
      <c r="E200" s="12" t="s">
        <v>494</v>
      </c>
      <c r="F200" s="12" t="s">
        <v>500</v>
      </c>
      <c r="G200" s="12" t="s">
        <v>683</v>
      </c>
      <c r="H200" s="12" t="s">
        <v>684</v>
      </c>
      <c r="I200" s="12" t="s">
        <v>25</v>
      </c>
      <c r="J200" s="12" t="s">
        <v>25</v>
      </c>
    </row>
    <row customHeight="1" ht="33" r="201">
      <c r="B201" s="12">
        <f>HYPERLINK("https://gesdoc.uis.edu.co/share/page/folder-details?nodeRef=workspace://SpacesStore/b60a80cb-dad4-410d-9806-65edafd282b8","0450_2026000086_7912")</f>
      </c>
      <c r="C201" s="12" t="s">
        <v>190</v>
      </c>
      <c r="D201" s="13" t="s">
        <v>442</v>
      </c>
      <c r="E201" s="12" t="s">
        <v>494</v>
      </c>
      <c r="F201" s="12" t="s">
        <v>502</v>
      </c>
      <c r="G201" s="12" t="s">
        <v>684</v>
      </c>
      <c r="H201" s="12" t="s">
        <v>684</v>
      </c>
      <c r="I201" s="12" t="s">
        <v>25</v>
      </c>
      <c r="J201" s="12" t="s">
        <v>25</v>
      </c>
    </row>
    <row customHeight="1" ht="33" r="202">
      <c r="B202" s="12">
        <f>HYPERLINK("https://gesdoc.uis.edu.co/share/page/folder-details?nodeRef=workspace://SpacesStore/9e89458e-fd22-4bd4-a6ab-714580ac7ce6","0020_2026000296_3170")</f>
      </c>
      <c r="C202" s="12" t="s">
        <v>191</v>
      </c>
      <c r="D202" s="13" t="s">
        <v>460</v>
      </c>
      <c r="E202" s="12" t="s">
        <v>494</v>
      </c>
      <c r="F202" s="12" t="s">
        <v>495</v>
      </c>
      <c r="G202" s="12" t="s">
        <v>685</v>
      </c>
      <c r="H202" s="12" t="s">
        <v>685</v>
      </c>
      <c r="I202" s="12" t="s">
        <v>25</v>
      </c>
      <c r="J202" s="12" t="s">
        <v>25</v>
      </c>
    </row>
    <row customHeight="1" ht="33" r="203">
      <c r="B203" s="12">
        <f>HYPERLINK("https://gesdoc.uis.edu.co/share/page/folder-details?nodeRef=workspace://SpacesStore/ddf9b460-1b5d-44fc-99d3-08eff36c4927","0019_2026000101_1464")</f>
      </c>
      <c r="C203" s="12" t="s">
        <v>192</v>
      </c>
      <c r="D203" s="13" t="s">
        <v>440</v>
      </c>
      <c r="E203" s="12" t="s">
        <v>494</v>
      </c>
      <c r="F203" s="12" t="s">
        <v>498</v>
      </c>
      <c r="G203" s="12" t="s">
        <v>686</v>
      </c>
      <c r="H203" s="12" t="s">
        <v>1097</v>
      </c>
      <c r="I203" s="12" t="s">
        <v>25</v>
      </c>
      <c r="J203" s="12" t="s">
        <v>25</v>
      </c>
    </row>
    <row customHeight="1" ht="33" r="204">
      <c r="B204" s="12">
        <f>HYPERLINK("https://gesdoc.uis.edu.co/share/page/folder-details?nodeRef=workspace://SpacesStore/037b7ba4-dcc1-4c57-99da-0be34e11a916","0018_2026002219_3140")</f>
      </c>
      <c r="C204" s="12" t="s">
        <v>193</v>
      </c>
      <c r="D204" s="13" t="s">
        <v>445</v>
      </c>
      <c r="E204" s="12" t="s">
        <v>494</v>
      </c>
      <c r="F204" s="12" t="s">
        <v>500</v>
      </c>
      <c r="G204" s="12" t="s">
        <v>687</v>
      </c>
      <c r="H204" s="12" t="s">
        <v>1098</v>
      </c>
      <c r="I204" s="12" t="s">
        <v>25</v>
      </c>
      <c r="J204" s="12" t="s">
        <v>25</v>
      </c>
    </row>
    <row customHeight="1" ht="33" r="205">
      <c r="B205" s="12">
        <f>HYPERLINK("https://gesdoc.uis.edu.co/share/page/folder-details?nodeRef=workspace://SpacesStore/48cf00c4-b31c-4168-8fe7-95bd4170c59d","0020_2026000277_7018")</f>
      </c>
      <c r="C205" s="12" t="s">
        <v>194</v>
      </c>
      <c r="D205" s="13" t="s">
        <v>460</v>
      </c>
      <c r="E205" s="12" t="s">
        <v>494</v>
      </c>
      <c r="F205" s="12" t="s">
        <v>495</v>
      </c>
      <c r="G205" s="12" t="s">
        <v>688</v>
      </c>
      <c r="H205" s="12" t="s">
        <v>1099</v>
      </c>
      <c r="I205" s="12" t="s">
        <v>25</v>
      </c>
      <c r="J205" s="12" t="s">
        <v>25</v>
      </c>
    </row>
    <row customHeight="1" ht="33" r="206">
      <c r="B206" s="12">
        <f>HYPERLINK("https://gesdoc.uis.edu.co/share/page/folder-details?nodeRef=workspace://SpacesStore/6d3682ec-5fd6-4254-bd9b-7cf1203a8c09","0018_2026002333_9765")</f>
      </c>
      <c r="C206" s="12" t="s">
        <v>195</v>
      </c>
      <c r="D206" s="13" t="s">
        <v>473</v>
      </c>
      <c r="E206" s="12" t="s">
        <v>494</v>
      </c>
      <c r="F206" s="12" t="s">
        <v>500</v>
      </c>
      <c r="G206" s="12" t="s">
        <v>689</v>
      </c>
      <c r="H206" s="12" t="s">
        <v>689</v>
      </c>
      <c r="I206" s="12" t="s">
        <v>25</v>
      </c>
      <c r="J206" s="12" t="s">
        <v>25</v>
      </c>
    </row>
    <row customHeight="1" ht="33" r="207">
      <c r="B207" s="12">
        <f>HYPERLINK("https://gesdoc.uis.edu.co/share/page/folder-details?nodeRef=workspace://SpacesStore/cdf98049-3c57-4321-b11c-b97436bf5c39","0020_2026000274_9198")</f>
      </c>
      <c r="C207" s="12" t="s">
        <v>196</v>
      </c>
      <c r="D207" s="13" t="s">
        <v>444</v>
      </c>
      <c r="E207" s="12" t="s">
        <v>494</v>
      </c>
      <c r="F207" s="12" t="s">
        <v>495</v>
      </c>
      <c r="G207" s="12" t="s">
        <v>690</v>
      </c>
      <c r="H207" s="12" t="s">
        <v>1100</v>
      </c>
      <c r="I207" s="12" t="s">
        <v>25</v>
      </c>
      <c r="J207" s="12" t="s">
        <v>25</v>
      </c>
    </row>
    <row customHeight="1" ht="33" r="208">
      <c r="B208" s="12">
        <f>HYPERLINK("https://gesdoc.uis.edu.co/share/page/folder-details?nodeRef=workspace://SpacesStore/a99ab909-6d5e-4b20-a55d-91dee11e5c6c","0018_2026002302_3140")</f>
      </c>
      <c r="C208" s="12" t="s">
        <v>197</v>
      </c>
      <c r="D208" s="13" t="s">
        <v>445</v>
      </c>
      <c r="E208" s="12" t="s">
        <v>494</v>
      </c>
      <c r="F208" s="12" t="s">
        <v>500</v>
      </c>
      <c r="G208" s="12" t="s">
        <v>691</v>
      </c>
      <c r="H208" s="12" t="s">
        <v>691</v>
      </c>
      <c r="I208" s="12" t="s">
        <v>25</v>
      </c>
      <c r="J208" s="12" t="s">
        <v>25</v>
      </c>
    </row>
    <row customHeight="1" ht="33" r="209">
      <c r="B209" s="12">
        <f>HYPERLINK("https://gesdoc.uis.edu.co/share/page/folder-details?nodeRef=workspace://SpacesStore/50b2e72f-e9a3-4cca-a92c-214ac8836430","0020_2026000282_9129")</f>
      </c>
      <c r="C209" s="12" t="s">
        <v>198</v>
      </c>
      <c r="D209" s="13" t="s">
        <v>446</v>
      </c>
      <c r="E209" s="12" t="s">
        <v>494</v>
      </c>
      <c r="F209" s="12" t="s">
        <v>495</v>
      </c>
      <c r="G209" s="12" t="s">
        <v>692</v>
      </c>
      <c r="H209" s="12" t="s">
        <v>1101</v>
      </c>
      <c r="I209" s="12" t="s">
        <v>25</v>
      </c>
      <c r="J209" s="12" t="s">
        <v>25</v>
      </c>
    </row>
    <row customHeight="1" ht="33" r="210">
      <c r="B210" s="12">
        <f>HYPERLINK("https://gesdoc.uis.edu.co/share/page/folder-details?nodeRef=workspace://SpacesStore/1187b5ae-1d43-4232-acd8-68f6e71299a9","0234_2026011021_2240")</f>
      </c>
      <c r="C210" s="12" t="s">
        <v>199</v>
      </c>
      <c r="D210" s="13" t="s">
        <v>438</v>
      </c>
      <c r="E210" s="12" t="s">
        <v>494</v>
      </c>
      <c r="F210" s="12" t="s">
        <v>501</v>
      </c>
      <c r="G210" s="12" t="s">
        <v>693</v>
      </c>
      <c r="H210" s="12" t="s">
        <v>1102</v>
      </c>
      <c r="I210" s="12" t="s">
        <v>25</v>
      </c>
      <c r="J210" s="12" t="s">
        <v>25</v>
      </c>
    </row>
    <row customHeight="1" ht="33" r="211">
      <c r="B211" s="12">
        <f>HYPERLINK("https://gesdoc.uis.edu.co/share/page/folder-details?nodeRef=workspace://SpacesStore/cc81778c-4e02-4136-9ff5-18aa674332b1","0018_2026002388_7016")</f>
      </c>
      <c r="C211" s="12" t="s">
        <v>200</v>
      </c>
      <c r="D211" s="13" t="s">
        <v>456</v>
      </c>
      <c r="E211" s="12" t="s">
        <v>494</v>
      </c>
      <c r="F211" s="12" t="s">
        <v>500</v>
      </c>
      <c r="G211" s="12" t="s">
        <v>694</v>
      </c>
      <c r="H211" s="12" t="s">
        <v>699</v>
      </c>
      <c r="I211" s="12" t="s">
        <v>25</v>
      </c>
      <c r="J211" s="12" t="s">
        <v>25</v>
      </c>
    </row>
    <row customHeight="1" ht="33" r="212">
      <c r="B212" s="12">
        <f>HYPERLINK("https://gesdoc.uis.edu.co/share/page/folder-details?nodeRef=workspace://SpacesStore/94622d4b-25e4-4b8c-aede-a56046954a44","0298_2025000250_7062_EV003")</f>
      </c>
      <c r="C212" s="12" t="s">
        <v>201</v>
      </c>
      <c r="D212" s="13" t="s">
        <v>440</v>
      </c>
      <c r="E212" s="12" t="s">
        <v>494</v>
      </c>
      <c r="F212" s="12" t="s">
        <v>499</v>
      </c>
      <c r="G212" s="12" t="s">
        <v>695</v>
      </c>
      <c r="H212" s="12" t="s">
        <v>695</v>
      </c>
      <c r="I212" s="12" t="s">
        <v>1256</v>
      </c>
      <c r="J212" s="12" t="s">
        <v>1261</v>
      </c>
    </row>
    <row customHeight="1" ht="33" r="213">
      <c r="B213" s="12">
        <f>HYPERLINK("https://gesdoc.uis.edu.co/share/page/folder-details?nodeRef=workspace://SpacesStore/de785c6d-1f9c-416c-8aea-9ce4d4e2e41f","0018_2026002361_7085")</f>
      </c>
      <c r="C213" s="12" t="s">
        <v>202</v>
      </c>
      <c r="D213" s="13" t="s">
        <v>440</v>
      </c>
      <c r="E213" s="12" t="s">
        <v>494</v>
      </c>
      <c r="F213" s="12" t="s">
        <v>500</v>
      </c>
      <c r="G213" s="12" t="s">
        <v>696</v>
      </c>
      <c r="H213" s="12" t="s">
        <v>1103</v>
      </c>
      <c r="I213" s="12" t="s">
        <v>25</v>
      </c>
      <c r="J213" s="12" t="s">
        <v>25</v>
      </c>
    </row>
    <row customHeight="1" ht="33" r="214">
      <c r="B214" s="12">
        <f>HYPERLINK("https://gesdoc.uis.edu.co/share/page/folder-details?nodeRef=workspace://SpacesStore/5a74c5ed-a9d1-4356-ac0c-d28923167d63","0018_2026002373_8319")</f>
      </c>
      <c r="C214" s="12" t="s">
        <v>203</v>
      </c>
      <c r="D214" s="13" t="s">
        <v>450</v>
      </c>
      <c r="E214" s="12" t="s">
        <v>494</v>
      </c>
      <c r="F214" s="12" t="s">
        <v>500</v>
      </c>
      <c r="G214" s="12" t="s">
        <v>697</v>
      </c>
      <c r="H214" s="12" t="s">
        <v>1104</v>
      </c>
      <c r="I214" s="12" t="s">
        <v>25</v>
      </c>
      <c r="J214" s="12" t="s">
        <v>25</v>
      </c>
    </row>
    <row customHeight="1" ht="33" r="215">
      <c r="B215" s="12">
        <f>HYPERLINK("https://gesdoc.uis.edu.co/share/page/folder-details?nodeRef=workspace://SpacesStore/24113e74-3448-4f6b-aec4-4f7fac4f8c5d","0018_2026002342_7094")</f>
      </c>
      <c r="C215" s="12" t="s">
        <v>204</v>
      </c>
      <c r="D215" s="13" t="s">
        <v>474</v>
      </c>
      <c r="E215" s="12" t="s">
        <v>494</v>
      </c>
      <c r="F215" s="12" t="s">
        <v>500</v>
      </c>
      <c r="G215" s="12" t="s">
        <v>698</v>
      </c>
      <c r="H215" s="12" t="s">
        <v>1105</v>
      </c>
      <c r="I215" s="12" t="s">
        <v>25</v>
      </c>
      <c r="J215" s="12" t="s">
        <v>25</v>
      </c>
    </row>
    <row customHeight="1" ht="33" r="216">
      <c r="B216" s="12">
        <f>HYPERLINK("https://gesdoc.uis.edu.co/share/page/folder-details?nodeRef=workspace://SpacesStore/0a6c993d-11f1-498b-8d47-dde98cdc61e7","0018_2026002393_7016")</f>
      </c>
      <c r="C216" s="12" t="s">
        <v>205</v>
      </c>
      <c r="D216" s="13" t="s">
        <v>456</v>
      </c>
      <c r="E216" s="12" t="s">
        <v>494</v>
      </c>
      <c r="F216" s="12" t="s">
        <v>500</v>
      </c>
      <c r="G216" s="12" t="s">
        <v>699</v>
      </c>
      <c r="H216" s="12" t="s">
        <v>1106</v>
      </c>
      <c r="I216" s="12" t="s">
        <v>25</v>
      </c>
      <c r="J216" s="12" t="s">
        <v>25</v>
      </c>
    </row>
    <row customHeight="1" ht="33" r="217">
      <c r="B217" s="12">
        <f>HYPERLINK("https://gesdoc.uis.edu.co/share/page/folder-details?nodeRef=workspace://SpacesStore/efb9b9ac-4d7d-4bea-9587-2b2b7d2d113a","0018_2026002377_8319")</f>
      </c>
      <c r="C217" s="12" t="s">
        <v>206</v>
      </c>
      <c r="D217" s="13" t="s">
        <v>450</v>
      </c>
      <c r="E217" s="12" t="s">
        <v>494</v>
      </c>
      <c r="F217" s="12" t="s">
        <v>500</v>
      </c>
      <c r="G217" s="12" t="s">
        <v>700</v>
      </c>
      <c r="H217" s="12" t="s">
        <v>1107</v>
      </c>
      <c r="I217" s="12" t="s">
        <v>25</v>
      </c>
      <c r="J217" s="12" t="s">
        <v>25</v>
      </c>
    </row>
    <row customHeight="1" ht="33" r="218">
      <c r="B218" s="12">
        <f>HYPERLINK("https://gesdoc.uis.edu.co/share/page/folder-details?nodeRef=workspace://SpacesStore/9199fb8e-e49d-447c-8748-86d3706fe013","0019_2026000105_3160")</f>
      </c>
      <c r="C218" s="12" t="s">
        <v>207</v>
      </c>
      <c r="D218" s="13" t="s">
        <v>440</v>
      </c>
      <c r="E218" s="12" t="s">
        <v>494</v>
      </c>
      <c r="F218" s="12" t="s">
        <v>498</v>
      </c>
      <c r="G218" s="12" t="s">
        <v>701</v>
      </c>
      <c r="H218" s="12" t="s">
        <v>1108</v>
      </c>
      <c r="I218" s="12" t="s">
        <v>25</v>
      </c>
      <c r="J218" s="12" t="s">
        <v>25</v>
      </c>
    </row>
    <row customHeight="1" ht="33" r="219">
      <c r="B219" s="12">
        <f>HYPERLINK("https://gesdoc.uis.edu.co/share/page/folder-details?nodeRef=workspace://SpacesStore/87c67986-0161-4b55-b723-23fa0ccc20da","0234_2026010988_7837")</f>
      </c>
      <c r="C219" s="12" t="s">
        <v>208</v>
      </c>
      <c r="D219" s="13" t="s">
        <v>438</v>
      </c>
      <c r="E219" s="12" t="s">
        <v>494</v>
      </c>
      <c r="F219" s="12" t="s">
        <v>501</v>
      </c>
      <c r="G219" s="12" t="s">
        <v>702</v>
      </c>
      <c r="H219" s="12" t="s">
        <v>702</v>
      </c>
      <c r="I219" s="12" t="s">
        <v>25</v>
      </c>
      <c r="J219" s="12" t="s">
        <v>25</v>
      </c>
    </row>
    <row customHeight="1" ht="33" r="220">
      <c r="B220" s="12">
        <f>HYPERLINK("https://gesdoc.uis.edu.co/share/page/folder-details?nodeRef=workspace://SpacesStore/b8c0706a-21bf-4fcd-a821-07911e449236","0234_2026010978_2240")</f>
      </c>
      <c r="C220" s="12" t="s">
        <v>209</v>
      </c>
      <c r="D220" s="13" t="s">
        <v>438</v>
      </c>
      <c r="E220" s="12" t="s">
        <v>494</v>
      </c>
      <c r="F220" s="12" t="s">
        <v>501</v>
      </c>
      <c r="G220" s="12" t="s">
        <v>702</v>
      </c>
      <c r="H220" s="12" t="s">
        <v>702</v>
      </c>
      <c r="I220" s="12" t="s">
        <v>25</v>
      </c>
      <c r="J220" s="12" t="s">
        <v>25</v>
      </c>
    </row>
    <row customHeight="1" ht="33" r="221">
      <c r="B221" s="12">
        <f>HYPERLINK("https://gesdoc.uis.edu.co/share/page/folder-details?nodeRef=workspace://SpacesStore/cddc9cb3-9d90-43a1-9608-c438b98ea575","0018_2026002346_7966")</f>
      </c>
      <c r="C221" s="12" t="s">
        <v>210</v>
      </c>
      <c r="D221" s="13" t="s">
        <v>449</v>
      </c>
      <c r="E221" s="12" t="s">
        <v>494</v>
      </c>
      <c r="F221" s="12" t="s">
        <v>500</v>
      </c>
      <c r="G221" s="12" t="s">
        <v>529</v>
      </c>
      <c r="H221" s="12" t="s">
        <v>529</v>
      </c>
      <c r="I221" s="12" t="s">
        <v>25</v>
      </c>
      <c r="J221" s="12" t="s">
        <v>25</v>
      </c>
    </row>
    <row customHeight="1" ht="33" r="222">
      <c r="B222" s="12">
        <f>HYPERLINK("https://gesdoc.uis.edu.co/share/page/folder-details?nodeRef=workspace://SpacesStore/d6c40406-fa4d-456d-8002-cbc47453eacc","0019_2026000100_1464")</f>
      </c>
      <c r="C222" s="12" t="s">
        <v>211</v>
      </c>
      <c r="D222" s="13" t="s">
        <v>440</v>
      </c>
      <c r="E222" s="12" t="s">
        <v>494</v>
      </c>
      <c r="F222" s="12" t="s">
        <v>498</v>
      </c>
      <c r="G222" s="12" t="s">
        <v>703</v>
      </c>
      <c r="H222" s="12" t="s">
        <v>1109</v>
      </c>
      <c r="I222" s="12" t="s">
        <v>25</v>
      </c>
      <c r="J222" s="12" t="s">
        <v>25</v>
      </c>
    </row>
    <row customHeight="1" ht="33" r="223">
      <c r="B223" s="12">
        <f>HYPERLINK("https://gesdoc.uis.edu.co/share/page/folder-details?nodeRef=workspace://SpacesStore/9e0d10d8-f258-4213-9146-5167e11ca81b","0018_2026002239_9339")</f>
      </c>
      <c r="C223" s="12" t="s">
        <v>212</v>
      </c>
      <c r="D223" s="13" t="s">
        <v>446</v>
      </c>
      <c r="E223" s="12" t="s">
        <v>494</v>
      </c>
      <c r="F223" s="12" t="s">
        <v>495</v>
      </c>
      <c r="G223" s="12" t="s">
        <v>704</v>
      </c>
      <c r="H223" s="12" t="s">
        <v>1110</v>
      </c>
      <c r="I223" s="12" t="s">
        <v>25</v>
      </c>
      <c r="J223" s="12" t="s">
        <v>25</v>
      </c>
    </row>
    <row customHeight="1" ht="33" r="224">
      <c r="B224" s="12">
        <f>HYPERLINK("https://gesdoc.uis.edu.co/share/page/folder-details?nodeRef=workspace://SpacesStore/570d9385-5574-4df3-84b1-082518bbb2e5","0020_2026000280_7018")</f>
      </c>
      <c r="C224" s="12" t="s">
        <v>213</v>
      </c>
      <c r="D224" s="13" t="s">
        <v>460</v>
      </c>
      <c r="E224" s="12" t="s">
        <v>494</v>
      </c>
      <c r="F224" s="12" t="s">
        <v>495</v>
      </c>
      <c r="G224" s="12" t="s">
        <v>705</v>
      </c>
      <c r="H224" s="12" t="s">
        <v>1111</v>
      </c>
      <c r="I224" s="12" t="s">
        <v>25</v>
      </c>
      <c r="J224" s="12" t="s">
        <v>25</v>
      </c>
    </row>
    <row customHeight="1" ht="33" r="225">
      <c r="B225" s="12">
        <f>HYPERLINK("https://gesdoc.uis.edu.co/share/page/folder-details?nodeRef=workspace://SpacesStore/9cc1ad1e-a638-4a87-b534-59b8fa0f0d95","Grupo_02_DC_076")</f>
      </c>
      <c r="C225" s="12" t="s">
        <v>25</v>
      </c>
      <c r="D225" s="13" t="s">
        <v>439</v>
      </c>
      <c r="E225" s="12" t="s">
        <v>494</v>
      </c>
      <c r="F225" s="12" t="s">
        <v>496</v>
      </c>
      <c r="G225" s="12" t="s">
        <v>510</v>
      </c>
      <c r="H225" s="12" t="s">
        <v>1112</v>
      </c>
      <c r="I225" s="12" t="s">
        <v>1255</v>
      </c>
      <c r="J225" s="12" t="s">
        <v>1260</v>
      </c>
    </row>
    <row customHeight="1" ht="33" r="226">
      <c r="B226" s="12">
        <f>HYPERLINK("https://gesdoc.uis.edu.co/share/page/folder-details?nodeRef=workspace://SpacesStore/0f28dcb7-50ea-4f48-965c-23999f144d80","0018_2026002402_7871")</f>
      </c>
      <c r="C226" s="12" t="s">
        <v>214</v>
      </c>
      <c r="D226" s="13" t="s">
        <v>446</v>
      </c>
      <c r="E226" s="12" t="s">
        <v>494</v>
      </c>
      <c r="F226" s="12" t="s">
        <v>500</v>
      </c>
      <c r="G226" s="12" t="s">
        <v>706</v>
      </c>
      <c r="H226" s="12" t="s">
        <v>1113</v>
      </c>
      <c r="I226" s="12" t="s">
        <v>25</v>
      </c>
      <c r="J226" s="12" t="s">
        <v>25</v>
      </c>
    </row>
    <row customHeight="1" ht="33" r="227">
      <c r="B227" s="12">
        <f>HYPERLINK("https://gesdoc.uis.edu.co/share/page/folder-details?nodeRef=workspace://SpacesStore/25fe30de-223d-4821-ac6f-b0f22b37ad91","0019_2026000091_3160")</f>
      </c>
      <c r="C227" s="12" t="s">
        <v>215</v>
      </c>
      <c r="D227" s="13" t="s">
        <v>440</v>
      </c>
      <c r="E227" s="12" t="s">
        <v>494</v>
      </c>
      <c r="F227" s="12" t="s">
        <v>498</v>
      </c>
      <c r="G227" s="12" t="s">
        <v>707</v>
      </c>
      <c r="H227" s="12" t="s">
        <v>1114</v>
      </c>
      <c r="I227" s="12" t="s">
        <v>25</v>
      </c>
      <c r="J227" s="12" t="s">
        <v>25</v>
      </c>
    </row>
    <row customHeight="1" ht="33" r="228">
      <c r="B228" s="12">
        <f>HYPERLINK("https://gesdoc.uis.edu.co/share/page/folder-details?nodeRef=workspace://SpacesStore/a8acf8d8-c135-4c09-9db0-b44eccac612b","0270_2026000719_9701")</f>
      </c>
      <c r="C228" s="12" t="s">
        <v>216</v>
      </c>
      <c r="D228" s="13" t="s">
        <v>454</v>
      </c>
      <c r="E228" s="12" t="s">
        <v>494</v>
      </c>
      <c r="F228" s="12" t="s">
        <v>504</v>
      </c>
      <c r="G228" s="12" t="s">
        <v>708</v>
      </c>
      <c r="H228" s="12" t="s">
        <v>1115</v>
      </c>
      <c r="I228" s="12" t="s">
        <v>25</v>
      </c>
      <c r="J228" s="12" t="s">
        <v>25</v>
      </c>
    </row>
    <row customHeight="1" ht="33" r="229">
      <c r="B229" s="12">
        <f>HYPERLINK("https://gesdoc.uis.edu.co/share/page/folder-details?nodeRef=workspace://SpacesStore/80f88091-06bf-4af4-850a-62716023a387","0018_2026002358_7884")</f>
      </c>
      <c r="C229" s="12" t="s">
        <v>217</v>
      </c>
      <c r="D229" s="13" t="s">
        <v>444</v>
      </c>
      <c r="E229" s="12" t="s">
        <v>494</v>
      </c>
      <c r="F229" s="12" t="s">
        <v>500</v>
      </c>
      <c r="G229" s="12" t="s">
        <v>709</v>
      </c>
      <c r="H229" s="12" t="s">
        <v>1116</v>
      </c>
      <c r="I229" s="12" t="s">
        <v>25</v>
      </c>
      <c r="J229" s="12" t="s">
        <v>25</v>
      </c>
    </row>
    <row customHeight="1" ht="33" r="230">
      <c r="B230" s="12">
        <f>HYPERLINK("https://gesdoc.uis.edu.co/share/page/folder-details?nodeRef=workspace://SpacesStore/50197992-fdbb-4572-a5a7-72932cc5486d","0018_2026002352_7606")</f>
      </c>
      <c r="C230" s="12" t="s">
        <v>218</v>
      </c>
      <c r="D230" s="13" t="s">
        <v>475</v>
      </c>
      <c r="E230" s="12" t="s">
        <v>494</v>
      </c>
      <c r="F230" s="12" t="s">
        <v>500</v>
      </c>
      <c r="G230" s="12" t="s">
        <v>710</v>
      </c>
      <c r="H230" s="12" t="s">
        <v>1117</v>
      </c>
      <c r="I230" s="12" t="s">
        <v>25</v>
      </c>
      <c r="J230" s="12" t="s">
        <v>25</v>
      </c>
    </row>
    <row customHeight="1" ht="33" r="231">
      <c r="B231" s="12">
        <f>HYPERLINK("https://gesdoc.uis.edu.co/share/page/folder-details?nodeRef=workspace://SpacesStore/4b003514-cff4-493a-9279-fba9231dac8f","0298_2025000031_3160")</f>
      </c>
      <c r="C231" s="12" t="s">
        <v>219</v>
      </c>
      <c r="D231" s="13" t="s">
        <v>440</v>
      </c>
      <c r="E231" s="12" t="s">
        <v>494</v>
      </c>
      <c r="F231" s="12" t="s">
        <v>503</v>
      </c>
      <c r="G231" s="12" t="s">
        <v>711</v>
      </c>
      <c r="H231" s="12" t="s">
        <v>683</v>
      </c>
      <c r="I231" s="12" t="s">
        <v>25</v>
      </c>
      <c r="J231" s="12" t="s">
        <v>25</v>
      </c>
    </row>
    <row customHeight="1" ht="33" r="232">
      <c r="B232" s="12">
        <f>HYPERLINK("https://gesdoc.uis.edu.co/share/page/folder-details?nodeRef=workspace://SpacesStore/05a3e84b-2bfa-4785-a701-b8c4ef5711c0","0018_2026002215_4512")</f>
      </c>
      <c r="C232" s="12" t="s">
        <v>220</v>
      </c>
      <c r="D232" s="13" t="s">
        <v>444</v>
      </c>
      <c r="E232" s="12" t="s">
        <v>494</v>
      </c>
      <c r="F232" s="12" t="s">
        <v>500</v>
      </c>
      <c r="G232" s="12" t="s">
        <v>712</v>
      </c>
      <c r="H232" s="12" t="s">
        <v>1118</v>
      </c>
      <c r="I232" s="12" t="s">
        <v>25</v>
      </c>
      <c r="J232" s="12" t="s">
        <v>25</v>
      </c>
    </row>
    <row customHeight="1" ht="33" r="233">
      <c r="B233" s="12">
        <f>HYPERLINK("https://gesdoc.uis.edu.co/share/page/folder-details?nodeRef=workspace://SpacesStore/474204c5-1b46-4bf7-b44b-d7ec1b3ed838","0018_2026002297_3140")</f>
      </c>
      <c r="C233" s="12" t="s">
        <v>221</v>
      </c>
      <c r="D233" s="13" t="s">
        <v>445</v>
      </c>
      <c r="E233" s="12" t="s">
        <v>494</v>
      </c>
      <c r="F233" s="12" t="s">
        <v>500</v>
      </c>
      <c r="G233" s="12" t="s">
        <v>713</v>
      </c>
      <c r="H233" s="12" t="s">
        <v>1119</v>
      </c>
      <c r="I233" s="12" t="s">
        <v>25</v>
      </c>
      <c r="J233" s="12" t="s">
        <v>25</v>
      </c>
    </row>
    <row customHeight="1" ht="33" r="234">
      <c r="B234" s="12">
        <f>HYPERLINK("https://gesdoc.uis.edu.co/share/page/folder-details?nodeRef=workspace://SpacesStore/b77d11f0-dd36-4fbf-8cac-ab03291540eb","0019_2026000104_3160")</f>
      </c>
      <c r="C234" s="12" t="s">
        <v>222</v>
      </c>
      <c r="D234" s="13" t="s">
        <v>440</v>
      </c>
      <c r="E234" s="12" t="s">
        <v>494</v>
      </c>
      <c r="F234" s="12" t="s">
        <v>498</v>
      </c>
      <c r="G234" s="12" t="s">
        <v>714</v>
      </c>
      <c r="H234" s="12" t="s">
        <v>1120</v>
      </c>
      <c r="I234" s="12" t="s">
        <v>25</v>
      </c>
      <c r="J234" s="12" t="s">
        <v>25</v>
      </c>
    </row>
    <row customHeight="1" ht="33" r="235">
      <c r="B235" s="12">
        <f>HYPERLINK("https://gesdoc.uis.edu.co/share/page/folder-details?nodeRef=workspace://SpacesStore/1cb03f46-c030-4f18-b679-7d3aba945bc0","0020_2026000299_3160")</f>
      </c>
      <c r="C235" s="12" t="s">
        <v>223</v>
      </c>
      <c r="D235" s="13" t="s">
        <v>440</v>
      </c>
      <c r="E235" s="12" t="s">
        <v>494</v>
      </c>
      <c r="F235" s="12" t="s">
        <v>495</v>
      </c>
      <c r="G235" s="12" t="s">
        <v>715</v>
      </c>
      <c r="H235" s="12" t="s">
        <v>1121</v>
      </c>
      <c r="I235" s="12" t="s">
        <v>25</v>
      </c>
      <c r="J235" s="12" t="s">
        <v>25</v>
      </c>
    </row>
    <row customHeight="1" ht="33" r="236">
      <c r="B236" s="12">
        <f>HYPERLINK("https://gesdoc.uis.edu.co/share/page/folder-details?nodeRef=workspace://SpacesStore/36a4ae01-d49a-469e-b51a-7cdade988497","0018_2026002301_3140")</f>
      </c>
      <c r="C236" s="12" t="s">
        <v>224</v>
      </c>
      <c r="D236" s="13" t="s">
        <v>445</v>
      </c>
      <c r="E236" s="12" t="s">
        <v>494</v>
      </c>
      <c r="F236" s="12" t="s">
        <v>500</v>
      </c>
      <c r="G236" s="12" t="s">
        <v>716</v>
      </c>
      <c r="H236" s="12" t="s">
        <v>1122</v>
      </c>
      <c r="I236" s="12" t="s">
        <v>25</v>
      </c>
      <c r="J236" s="12" t="s">
        <v>25</v>
      </c>
    </row>
    <row customHeight="1" ht="33" r="237">
      <c r="B237" s="12">
        <f>HYPERLINK("https://gesdoc.uis.edu.co/share/page/folder-details?nodeRef=workspace://SpacesStore/2cbabe03-0562-4a1d-ad65-14b0ee8784bb","0298_2026000258_9669")</f>
      </c>
      <c r="C237" s="12" t="s">
        <v>225</v>
      </c>
      <c r="D237" s="13" t="s">
        <v>460</v>
      </c>
      <c r="E237" s="12" t="s">
        <v>494</v>
      </c>
      <c r="F237" s="12" t="s">
        <v>503</v>
      </c>
      <c r="G237" s="12" t="s">
        <v>717</v>
      </c>
      <c r="H237" s="12" t="s">
        <v>717</v>
      </c>
      <c r="I237" s="12" t="s">
        <v>25</v>
      </c>
      <c r="J237" s="12" t="s">
        <v>25</v>
      </c>
    </row>
    <row customHeight="1" ht="33" r="238">
      <c r="B238" s="12">
        <f>HYPERLINK("https://gesdoc.uis.edu.co/share/page/folder-details?nodeRef=workspace://SpacesStore/5ab9df76-fe73-40e6-87f3-2eecf2610dd4","0018_2026002406_8319")</f>
      </c>
      <c r="C238" s="12" t="s">
        <v>226</v>
      </c>
      <c r="D238" s="13" t="s">
        <v>450</v>
      </c>
      <c r="E238" s="12" t="s">
        <v>494</v>
      </c>
      <c r="F238" s="12" t="s">
        <v>500</v>
      </c>
      <c r="G238" s="12" t="s">
        <v>718</v>
      </c>
      <c r="H238" s="12" t="s">
        <v>1123</v>
      </c>
      <c r="I238" s="12" t="s">
        <v>25</v>
      </c>
      <c r="J238" s="12" t="s">
        <v>25</v>
      </c>
    </row>
    <row customHeight="1" ht="33" r="239">
      <c r="B239" s="12">
        <f>HYPERLINK("https://gesdoc.uis.edu.co/share/page/folder-details?nodeRef=workspace://SpacesStore/e09917b6-030a-4d10-9de5-e008b2ffe027","0018_2026002289_7048")</f>
      </c>
      <c r="C239" s="12" t="s">
        <v>227</v>
      </c>
      <c r="D239" s="13" t="s">
        <v>462</v>
      </c>
      <c r="E239" s="12" t="s">
        <v>494</v>
      </c>
      <c r="F239" s="12" t="s">
        <v>500</v>
      </c>
      <c r="G239" s="12" t="s">
        <v>719</v>
      </c>
      <c r="H239" s="12" t="s">
        <v>1124</v>
      </c>
      <c r="I239" s="12" t="s">
        <v>25</v>
      </c>
      <c r="J239" s="12" t="s">
        <v>25</v>
      </c>
    </row>
    <row customHeight="1" ht="33" r="240">
      <c r="B240" s="12">
        <f>HYPERLINK("https://gesdoc.uis.edu.co/share/page/folder-details?nodeRef=workspace://SpacesStore/8340fb47-4953-4bb5-a4b9-358697ffb7f2","2026010850_7930")</f>
      </c>
      <c r="C240" s="12" t="s">
        <v>25</v>
      </c>
      <c r="D240" s="13" t="s">
        <v>464</v>
      </c>
      <c r="E240" s="12" t="s">
        <v>494</v>
      </c>
      <c r="F240" s="12" t="s">
        <v>501</v>
      </c>
      <c r="G240" s="12" t="s">
        <v>672</v>
      </c>
      <c r="H240" s="12" t="s">
        <v>563</v>
      </c>
      <c r="I240" s="12" t="s">
        <v>25</v>
      </c>
      <c r="J240" s="12" t="s">
        <v>25</v>
      </c>
    </row>
    <row customHeight="1" ht="33" r="241">
      <c r="B241" s="12">
        <f>HYPERLINK("https://gesdoc.uis.edu.co/share/page/folder-details?nodeRef=workspace://SpacesStore/0eef6bd2-634c-4eb9-ad90-62104fef5a6f","0019_2026000112_7047")</f>
      </c>
      <c r="C241" s="12" t="s">
        <v>228</v>
      </c>
      <c r="D241" s="13" t="s">
        <v>458</v>
      </c>
      <c r="E241" s="12" t="s">
        <v>494</v>
      </c>
      <c r="F241" s="12" t="s">
        <v>498</v>
      </c>
      <c r="G241" s="12" t="s">
        <v>720</v>
      </c>
      <c r="H241" s="12" t="s">
        <v>1125</v>
      </c>
      <c r="I241" s="12" t="s">
        <v>25</v>
      </c>
      <c r="J241" s="12" t="s">
        <v>25</v>
      </c>
    </row>
    <row customHeight="1" ht="33" r="242">
      <c r="B242" s="12">
        <f>HYPERLINK("https://gesdoc.uis.edu.co/share/page/folder-details?nodeRef=workspace://SpacesStore/b4413764-4ab3-4b5a-9056-5f2b4768f814","0020_2026000306_7077")</f>
      </c>
      <c r="C242" s="12" t="s">
        <v>229</v>
      </c>
      <c r="D242" s="13" t="s">
        <v>447</v>
      </c>
      <c r="E242" s="12" t="s">
        <v>494</v>
      </c>
      <c r="F242" s="12" t="s">
        <v>495</v>
      </c>
      <c r="G242" s="12" t="s">
        <v>721</v>
      </c>
      <c r="H242" s="12" t="s">
        <v>721</v>
      </c>
      <c r="I242" s="12" t="s">
        <v>25</v>
      </c>
      <c r="J242" s="12" t="s">
        <v>25</v>
      </c>
    </row>
    <row customHeight="1" ht="33" r="243">
      <c r="B243" s="12">
        <f>HYPERLINK("https://gesdoc.uis.edu.co/share/page/folder-details?nodeRef=workspace://SpacesStore/7e5c807f-17ab-4725-9745-030bc6aae1bb","0018_2026002349_7854")</f>
      </c>
      <c r="C243" s="12" t="s">
        <v>230</v>
      </c>
      <c r="D243" s="13" t="s">
        <v>474</v>
      </c>
      <c r="E243" s="12" t="s">
        <v>494</v>
      </c>
      <c r="F243" s="12" t="s">
        <v>500</v>
      </c>
      <c r="G243" s="12" t="s">
        <v>722</v>
      </c>
      <c r="H243" s="12" t="s">
        <v>1126</v>
      </c>
      <c r="I243" s="12" t="s">
        <v>25</v>
      </c>
      <c r="J243" s="12" t="s">
        <v>25</v>
      </c>
    </row>
    <row customHeight="1" ht="33" r="244">
      <c r="B244" s="12">
        <f>HYPERLINK("https://gesdoc.uis.edu.co/share/page/folder-details?nodeRef=workspace://SpacesStore/0731aeaa-51e9-4a8c-8142-0aafba569da8","0018_2026002225_3140")</f>
      </c>
      <c r="C244" s="12" t="s">
        <v>231</v>
      </c>
      <c r="D244" s="13" t="s">
        <v>445</v>
      </c>
      <c r="E244" s="12" t="s">
        <v>494</v>
      </c>
      <c r="F244" s="12" t="s">
        <v>500</v>
      </c>
      <c r="G244" s="12" t="s">
        <v>723</v>
      </c>
      <c r="H244" s="12" t="s">
        <v>1127</v>
      </c>
      <c r="I244" s="12" t="s">
        <v>25</v>
      </c>
      <c r="J244" s="12" t="s">
        <v>25</v>
      </c>
    </row>
    <row customHeight="1" ht="33" r="245">
      <c r="B245" s="12">
        <f>HYPERLINK("https://gesdoc.uis.edu.co/share/page/folder-details?nodeRef=workspace://SpacesStore/7207ea5d-e8eb-4626-8ec0-b773d1926ba8","0018_2026002396_1454")</f>
      </c>
      <c r="C245" s="12" t="s">
        <v>232</v>
      </c>
      <c r="D245" s="13" t="s">
        <v>443</v>
      </c>
      <c r="E245" s="12" t="s">
        <v>494</v>
      </c>
      <c r="F245" s="12" t="s">
        <v>500</v>
      </c>
      <c r="G245" s="12" t="s">
        <v>724</v>
      </c>
      <c r="H245" s="12" t="s">
        <v>1128</v>
      </c>
      <c r="I245" s="12" t="s">
        <v>25</v>
      </c>
      <c r="J245" s="12" t="s">
        <v>25</v>
      </c>
    </row>
    <row customHeight="1" ht="33" r="246">
      <c r="B246" s="12">
        <f>HYPERLINK("https://gesdoc.uis.edu.co/share/page/folder-details?nodeRef=workspace://SpacesStore/04d914cd-5969-435d-8569-db9303cc61c7","0018_2026002362_9318")</f>
      </c>
      <c r="C246" s="12" t="s">
        <v>233</v>
      </c>
      <c r="D246" s="13" t="s">
        <v>442</v>
      </c>
      <c r="E246" s="12" t="s">
        <v>494</v>
      </c>
      <c r="F246" s="12" t="s">
        <v>500</v>
      </c>
      <c r="G246" s="12" t="s">
        <v>724</v>
      </c>
      <c r="H246" s="12" t="s">
        <v>724</v>
      </c>
      <c r="I246" s="12" t="s">
        <v>25</v>
      </c>
      <c r="J246" s="12" t="s">
        <v>25</v>
      </c>
    </row>
    <row customHeight="1" ht="33" r="247">
      <c r="B247" s="12">
        <f>HYPERLINK("https://gesdoc.uis.edu.co/share/page/folder-details?nodeRef=workspace://SpacesStore/6a9ff8d3-4d00-4dc8-8422-e6b8595d9074","0018_2026002344_3140")</f>
      </c>
      <c r="C247" s="12" t="s">
        <v>234</v>
      </c>
      <c r="D247" s="13" t="s">
        <v>445</v>
      </c>
      <c r="E247" s="12" t="s">
        <v>494</v>
      </c>
      <c r="F247" s="12" t="s">
        <v>500</v>
      </c>
      <c r="G247" s="12" t="s">
        <v>725</v>
      </c>
      <c r="H247" s="12" t="s">
        <v>1129</v>
      </c>
      <c r="I247" s="12" t="s">
        <v>25</v>
      </c>
      <c r="J247" s="12" t="s">
        <v>25</v>
      </c>
    </row>
    <row customHeight="1" ht="33" r="248">
      <c r="B248" s="12">
        <f>HYPERLINK("https://gesdoc.uis.edu.co/share/page/folder-details?nodeRef=workspace://SpacesStore/e79792de-c592-48b6-91e0-14c92319916f","0018_2026002405_7854")</f>
      </c>
      <c r="C248" s="12" t="s">
        <v>235</v>
      </c>
      <c r="D248" s="13" t="s">
        <v>474</v>
      </c>
      <c r="E248" s="12" t="s">
        <v>494</v>
      </c>
      <c r="F248" s="12" t="s">
        <v>500</v>
      </c>
      <c r="G248" s="12" t="s">
        <v>726</v>
      </c>
      <c r="H248" s="12" t="s">
        <v>1130</v>
      </c>
      <c r="I248" s="12" t="s">
        <v>25</v>
      </c>
      <c r="J248" s="12" t="s">
        <v>25</v>
      </c>
    </row>
    <row customHeight="1" ht="33" r="249">
      <c r="B249" s="12">
        <f>HYPERLINK("https://gesdoc.uis.edu.co/share/page/folder-details?nodeRef=workspace://SpacesStore/14e36cee-3265-4178-94d2-850549bd2368","0019_2026000108_7047")</f>
      </c>
      <c r="C249" s="12" t="s">
        <v>236</v>
      </c>
      <c r="D249" s="13" t="s">
        <v>458</v>
      </c>
      <c r="E249" s="12" t="s">
        <v>494</v>
      </c>
      <c r="F249" s="12" t="s">
        <v>498</v>
      </c>
      <c r="G249" s="12" t="s">
        <v>727</v>
      </c>
      <c r="H249" s="12" t="s">
        <v>727</v>
      </c>
      <c r="I249" s="12" t="s">
        <v>25</v>
      </c>
      <c r="J249" s="12" t="s">
        <v>25</v>
      </c>
    </row>
    <row customHeight="1" ht="33" r="250">
      <c r="B250" s="12">
        <f>HYPERLINK("https://gesdoc.uis.edu.co/share/page/folder-details?nodeRef=workspace://SpacesStore/9b2cff54-97fb-4bc6-8975-c2f40808d2d1","2026011201_7930")</f>
      </c>
      <c r="C250" s="12" t="s">
        <v>25</v>
      </c>
      <c r="D250" s="13" t="s">
        <v>464</v>
      </c>
      <c r="E250" s="12" t="s">
        <v>494</v>
      </c>
      <c r="F250" s="12" t="s">
        <v>501</v>
      </c>
      <c r="G250" s="12" t="s">
        <v>728</v>
      </c>
      <c r="H250" s="12" t="s">
        <v>728</v>
      </c>
      <c r="I250" s="12" t="s">
        <v>25</v>
      </c>
      <c r="J250" s="12" t="s">
        <v>25</v>
      </c>
    </row>
    <row customHeight="1" ht="33" r="251">
      <c r="B251" s="12">
        <f>HYPERLINK("https://gesdoc.uis.edu.co/share/page/folder-details?nodeRef=workspace://SpacesStore/c02eeaee-8d76-4e82-b974-802a17291147","2025000277_9701")</f>
      </c>
      <c r="C251" s="12" t="s">
        <v>25</v>
      </c>
      <c r="D251" s="13" t="s">
        <v>454</v>
      </c>
      <c r="E251" s="12" t="s">
        <v>494</v>
      </c>
      <c r="F251" s="12" t="s">
        <v>504</v>
      </c>
      <c r="G251" s="12" t="s">
        <v>729</v>
      </c>
      <c r="H251" s="12" t="s">
        <v>729</v>
      </c>
      <c r="I251" s="12" t="s">
        <v>25</v>
      </c>
      <c r="J251" s="12" t="s">
        <v>25</v>
      </c>
    </row>
    <row customHeight="1" ht="33" r="252">
      <c r="B252" s="12">
        <f>HYPERLINK("https://gesdoc.uis.edu.co/share/page/folder-details?nodeRef=workspace://SpacesStore/56eed9a8-8eae-4ee1-b599-941bcf8c37df","2025000272_9701")</f>
      </c>
      <c r="C252" s="12" t="s">
        <v>25</v>
      </c>
      <c r="D252" s="13" t="s">
        <v>454</v>
      </c>
      <c r="E252" s="12" t="s">
        <v>494</v>
      </c>
      <c r="F252" s="12" t="s">
        <v>504</v>
      </c>
      <c r="G252" s="12" t="s">
        <v>730</v>
      </c>
      <c r="H252" s="12" t="s">
        <v>730</v>
      </c>
      <c r="I252" s="12" t="s">
        <v>25</v>
      </c>
      <c r="J252" s="12" t="s">
        <v>25</v>
      </c>
    </row>
    <row customHeight="1" ht="33" r="253">
      <c r="B253" s="12">
        <f>HYPERLINK("https://gesdoc.uis.edu.co/share/page/folder-details?nodeRef=workspace://SpacesStore/647e62db-0ee3-4529-aef4-f23c89bdbebf","2025000261_9701")</f>
      </c>
      <c r="C253" s="12" t="s">
        <v>25</v>
      </c>
      <c r="D253" s="13" t="s">
        <v>454</v>
      </c>
      <c r="E253" s="12" t="s">
        <v>494</v>
      </c>
      <c r="F253" s="12" t="s">
        <v>504</v>
      </c>
      <c r="G253" s="12" t="s">
        <v>731</v>
      </c>
      <c r="H253" s="12" t="s">
        <v>731</v>
      </c>
      <c r="I253" s="12" t="s">
        <v>25</v>
      </c>
      <c r="J253" s="12" t="s">
        <v>25</v>
      </c>
    </row>
    <row customHeight="1" ht="33" r="254">
      <c r="B254" s="12">
        <f>HYPERLINK("https://gesdoc.uis.edu.co/share/page/folder-details?nodeRef=workspace://SpacesStore/5011f53a-dbd1-461e-a7d1-d44e311fa080","2025000248_9701")</f>
      </c>
      <c r="C254" s="12" t="s">
        <v>25</v>
      </c>
      <c r="D254" s="13" t="s">
        <v>454</v>
      </c>
      <c r="E254" s="12" t="s">
        <v>494</v>
      </c>
      <c r="F254" s="12" t="s">
        <v>504</v>
      </c>
      <c r="G254" s="12" t="s">
        <v>732</v>
      </c>
      <c r="H254" s="12" t="s">
        <v>731</v>
      </c>
      <c r="I254" s="12" t="s">
        <v>25</v>
      </c>
      <c r="J254" s="12" t="s">
        <v>25</v>
      </c>
    </row>
    <row customHeight="1" ht="33" r="255">
      <c r="B255" s="12">
        <f>HYPERLINK("https://gesdoc.uis.edu.co/share/page/folder-details?nodeRef=workspace://SpacesStore/f6e7dc6b-2cce-4933-a3de-dab91c8d1775","2025000242_9701")</f>
      </c>
      <c r="C255" s="12" t="s">
        <v>25</v>
      </c>
      <c r="D255" s="13" t="s">
        <v>454</v>
      </c>
      <c r="E255" s="12" t="s">
        <v>494</v>
      </c>
      <c r="F255" s="12" t="s">
        <v>504</v>
      </c>
      <c r="G255" s="12" t="s">
        <v>733</v>
      </c>
      <c r="H255" s="12" t="s">
        <v>734</v>
      </c>
      <c r="I255" s="12" t="s">
        <v>25</v>
      </c>
      <c r="J255" s="12" t="s">
        <v>25</v>
      </c>
    </row>
    <row customHeight="1" ht="33" r="256">
      <c r="B256" s="12">
        <f>HYPERLINK("https://gesdoc.uis.edu.co/share/page/folder-details?nodeRef=workspace://SpacesStore/739c295d-6096-46d1-b21b-f87da0067b77","2025000246_9701")</f>
      </c>
      <c r="C256" s="12" t="s">
        <v>25</v>
      </c>
      <c r="D256" s="13" t="s">
        <v>454</v>
      </c>
      <c r="E256" s="12" t="s">
        <v>494</v>
      </c>
      <c r="F256" s="12" t="s">
        <v>504</v>
      </c>
      <c r="G256" s="12" t="s">
        <v>734</v>
      </c>
      <c r="H256" s="12" t="s">
        <v>732</v>
      </c>
      <c r="I256" s="12" t="s">
        <v>25</v>
      </c>
      <c r="J256" s="12" t="s">
        <v>25</v>
      </c>
    </row>
    <row customHeight="1" ht="33" r="257">
      <c r="B257" s="12">
        <f>HYPERLINK("https://gesdoc.uis.edu.co/share/page/folder-details?nodeRef=workspace://SpacesStore/3773a6d7-780e-4a7a-96e3-f89eac708996","2026011381_2250")</f>
      </c>
      <c r="C257" s="12" t="s">
        <v>25</v>
      </c>
      <c r="D257" s="13" t="s">
        <v>464</v>
      </c>
      <c r="E257" s="12" t="s">
        <v>494</v>
      </c>
      <c r="F257" s="12" t="s">
        <v>501</v>
      </c>
      <c r="G257" s="12" t="s">
        <v>735</v>
      </c>
      <c r="H257" s="12" t="s">
        <v>735</v>
      </c>
      <c r="I257" s="12" t="s">
        <v>25</v>
      </c>
      <c r="J257" s="12" t="s">
        <v>25</v>
      </c>
    </row>
    <row customHeight="1" ht="33" r="258">
      <c r="B258" s="12">
        <f>HYPERLINK("https://gesdoc.uis.edu.co/share/page/folder-details?nodeRef=workspace://SpacesStore/d0fcc941-60b8-4645-9335-773212263da4","0018_2026002348_3140")</f>
      </c>
      <c r="C258" s="12" t="s">
        <v>237</v>
      </c>
      <c r="D258" s="13" t="s">
        <v>445</v>
      </c>
      <c r="E258" s="12" t="s">
        <v>494</v>
      </c>
      <c r="F258" s="12" t="s">
        <v>500</v>
      </c>
      <c r="G258" s="12" t="s">
        <v>736</v>
      </c>
      <c r="H258" s="12" t="s">
        <v>1131</v>
      </c>
      <c r="I258" s="12" t="s">
        <v>25</v>
      </c>
      <c r="J258" s="12" t="s">
        <v>25</v>
      </c>
    </row>
    <row customHeight="1" ht="33" r="259">
      <c r="B259" s="12">
        <f>HYPERLINK("https://gesdoc.uis.edu.co/share/page/folder-details?nodeRef=workspace://SpacesStore/435a3c20-723d-4bbe-a50f-a477d2a04944","2025000243_9701")</f>
      </c>
      <c r="C259" s="12" t="s">
        <v>25</v>
      </c>
      <c r="D259" s="13" t="s">
        <v>454</v>
      </c>
      <c r="E259" s="12" t="s">
        <v>494</v>
      </c>
      <c r="F259" s="12" t="s">
        <v>504</v>
      </c>
      <c r="G259" s="12" t="s">
        <v>734</v>
      </c>
      <c r="H259" s="12" t="s">
        <v>734</v>
      </c>
      <c r="I259" s="12" t="s">
        <v>25</v>
      </c>
      <c r="J259" s="12" t="s">
        <v>25</v>
      </c>
    </row>
    <row customHeight="1" ht="33" r="260">
      <c r="B260" s="12">
        <f>HYPERLINK("https://gesdoc.uis.edu.co/share/page/folder-details?nodeRef=workspace://SpacesStore/d0b260bb-200e-48a9-9fea-81cb95c55790","2025000282_9701")</f>
      </c>
      <c r="C260" s="12" t="s">
        <v>25</v>
      </c>
      <c r="D260" s="13" t="s">
        <v>454</v>
      </c>
      <c r="E260" s="12" t="s">
        <v>494</v>
      </c>
      <c r="F260" s="12" t="s">
        <v>504</v>
      </c>
      <c r="G260" s="12" t="s">
        <v>737</v>
      </c>
      <c r="H260" s="12" t="s">
        <v>738</v>
      </c>
      <c r="I260" s="12" t="s">
        <v>25</v>
      </c>
      <c r="J260" s="12" t="s">
        <v>25</v>
      </c>
    </row>
    <row customHeight="1" ht="33" r="261">
      <c r="B261" s="12">
        <f>HYPERLINK("https://gesdoc.uis.edu.co/share/page/folder-details?nodeRef=workspace://SpacesStore/8e2cb9cc-6b14-4d0e-8fd5-4db0d3d914fd","2025000291_9701")</f>
      </c>
      <c r="C261" s="12" t="s">
        <v>25</v>
      </c>
      <c r="D261" s="13" t="s">
        <v>454</v>
      </c>
      <c r="E261" s="12" t="s">
        <v>494</v>
      </c>
      <c r="F261" s="12" t="s">
        <v>504</v>
      </c>
      <c r="G261" s="12" t="s">
        <v>738</v>
      </c>
      <c r="H261" s="12" t="s">
        <v>738</v>
      </c>
      <c r="I261" s="12" t="s">
        <v>25</v>
      </c>
      <c r="J261" s="12" t="s">
        <v>25</v>
      </c>
    </row>
    <row customHeight="1" ht="33" r="262">
      <c r="B262" s="12">
        <f>HYPERLINK("https://gesdoc.uis.edu.co/share/page/folder-details?nodeRef=workspace://SpacesStore/117ac220-a828-491d-9398-596e960ccf60","2025000245_9701")</f>
      </c>
      <c r="C262" s="12" t="s">
        <v>25</v>
      </c>
      <c r="D262" s="13" t="s">
        <v>454</v>
      </c>
      <c r="E262" s="12" t="s">
        <v>494</v>
      </c>
      <c r="F262" s="12" t="s">
        <v>504</v>
      </c>
      <c r="G262" s="12" t="s">
        <v>734</v>
      </c>
      <c r="H262" s="12" t="s">
        <v>734</v>
      </c>
      <c r="I262" s="12" t="s">
        <v>25</v>
      </c>
      <c r="J262" s="12" t="s">
        <v>25</v>
      </c>
    </row>
    <row customHeight="1" ht="33" r="263">
      <c r="B263" s="12">
        <f>HYPERLINK("https://gesdoc.uis.edu.co/share/page/folder-details?nodeRef=workspace://SpacesStore/e305a6f3-294d-4cec-9240-6f155076b22f","2025000269_9701")</f>
      </c>
      <c r="C263" s="12" t="s">
        <v>25</v>
      </c>
      <c r="D263" s="13" t="s">
        <v>454</v>
      </c>
      <c r="E263" s="12" t="s">
        <v>494</v>
      </c>
      <c r="F263" s="12" t="s">
        <v>504</v>
      </c>
      <c r="G263" s="12" t="s">
        <v>739</v>
      </c>
      <c r="H263" s="12" t="s">
        <v>739</v>
      </c>
      <c r="I263" s="12" t="s">
        <v>25</v>
      </c>
      <c r="J263" s="12" t="s">
        <v>25</v>
      </c>
    </row>
    <row customHeight="1" ht="33" r="264">
      <c r="B264" s="12">
        <f>HYPERLINK("https://gesdoc.uis.edu.co/share/page/folder-details?nodeRef=workspace://SpacesStore/b25c7d88-be12-4b41-913a-a8a5e51e9681","0018_2026002380_4516")</f>
      </c>
      <c r="C264" s="12" t="s">
        <v>238</v>
      </c>
      <c r="D264" s="13" t="s">
        <v>461</v>
      </c>
      <c r="E264" s="12" t="s">
        <v>494</v>
      </c>
      <c r="F264" s="12" t="s">
        <v>500</v>
      </c>
      <c r="G264" s="12" t="s">
        <v>740</v>
      </c>
      <c r="H264" s="12" t="s">
        <v>1132</v>
      </c>
      <c r="I264" s="12" t="s">
        <v>25</v>
      </c>
      <c r="J264" s="12" t="s">
        <v>25</v>
      </c>
    </row>
    <row customHeight="1" ht="33" r="265">
      <c r="B265" s="12">
        <f>HYPERLINK("https://gesdoc.uis.edu.co/share/page/folder-details?nodeRef=workspace://SpacesStore/4a2fff9d-bf96-48f1-8b0c-5381587e2b8c","0020_2026000279_7063")</f>
      </c>
      <c r="C265" s="12" t="s">
        <v>239</v>
      </c>
      <c r="D265" s="13" t="s">
        <v>476</v>
      </c>
      <c r="E265" s="12" t="s">
        <v>494</v>
      </c>
      <c r="F265" s="12" t="s">
        <v>495</v>
      </c>
      <c r="G265" s="12" t="s">
        <v>741</v>
      </c>
      <c r="H265" s="12" t="s">
        <v>1133</v>
      </c>
      <c r="I265" s="12" t="s">
        <v>25</v>
      </c>
      <c r="J265" s="12" t="s">
        <v>25</v>
      </c>
    </row>
    <row customHeight="1" ht="33" r="266">
      <c r="B266" s="12">
        <f>HYPERLINK("https://gesdoc.uis.edu.co/share/page/folder-details?nodeRef=workspace://SpacesStore/3caa2254-91ad-4bd9-9064-7a52b3b321d8","0234_2026011395_2240")</f>
      </c>
      <c r="C266" s="12" t="s">
        <v>240</v>
      </c>
      <c r="D266" s="13" t="s">
        <v>438</v>
      </c>
      <c r="E266" s="12" t="s">
        <v>494</v>
      </c>
      <c r="F266" s="12" t="s">
        <v>501</v>
      </c>
      <c r="G266" s="12" t="s">
        <v>742</v>
      </c>
      <c r="H266" s="12" t="s">
        <v>742</v>
      </c>
      <c r="I266" s="12" t="s">
        <v>25</v>
      </c>
      <c r="J266" s="12" t="s">
        <v>25</v>
      </c>
    </row>
    <row customHeight="1" ht="33" r="267">
      <c r="B267" s="12">
        <f>HYPERLINK("https://gesdoc.uis.edu.co/share/page/folder-details?nodeRef=workspace://SpacesStore/c14912ab-73d1-461d-9735-24f19f2a8421","0234_2026011646_7837")</f>
      </c>
      <c r="C267" s="12" t="s">
        <v>241</v>
      </c>
      <c r="D267" s="13" t="s">
        <v>438</v>
      </c>
      <c r="E267" s="12" t="s">
        <v>494</v>
      </c>
      <c r="F267" s="12" t="s">
        <v>501</v>
      </c>
      <c r="G267" s="12" t="s">
        <v>743</v>
      </c>
      <c r="H267" s="12" t="s">
        <v>743</v>
      </c>
      <c r="I267" s="12" t="s">
        <v>25</v>
      </c>
      <c r="J267" s="12" t="s">
        <v>25</v>
      </c>
    </row>
    <row customHeight="1" ht="33" r="268">
      <c r="B268" s="12">
        <f>HYPERLINK("https://gesdoc.uis.edu.co/share/page/folder-details?nodeRef=workspace://SpacesStore/bb6bc4d8-86bf-45cb-a774-299831b89ac9","2025000369_9701")</f>
      </c>
      <c r="C268" s="12" t="s">
        <v>25</v>
      </c>
      <c r="D268" s="13" t="s">
        <v>454</v>
      </c>
      <c r="E268" s="12" t="s">
        <v>494</v>
      </c>
      <c r="F268" s="12" t="s">
        <v>504</v>
      </c>
      <c r="G268" s="12" t="s">
        <v>744</v>
      </c>
      <c r="H268" s="12" t="s">
        <v>744</v>
      </c>
      <c r="I268" s="12" t="s">
        <v>25</v>
      </c>
      <c r="J268" s="12" t="s">
        <v>25</v>
      </c>
    </row>
    <row customHeight="1" ht="33" r="269">
      <c r="B269" s="12">
        <f>HYPERLINK("https://gesdoc.uis.edu.co/share/page/folder-details?nodeRef=workspace://SpacesStore/91f171d3-c88e-4ca5-a95f-bff4628b5077","2025000368_9701")</f>
      </c>
      <c r="C269" s="12" t="s">
        <v>25</v>
      </c>
      <c r="D269" s="13" t="s">
        <v>454</v>
      </c>
      <c r="E269" s="12" t="s">
        <v>494</v>
      </c>
      <c r="F269" s="12" t="s">
        <v>504</v>
      </c>
      <c r="G269" s="12" t="s">
        <v>745</v>
      </c>
      <c r="H269" s="12" t="s">
        <v>745</v>
      </c>
      <c r="I269" s="12" t="s">
        <v>25</v>
      </c>
      <c r="J269" s="12" t="s">
        <v>25</v>
      </c>
    </row>
    <row customHeight="1" ht="33" r="270">
      <c r="B270" s="12">
        <f>HYPERLINK("https://gesdoc.uis.edu.co/share/page/folder-details?nodeRef=workspace://SpacesStore/f43fe70b-29bd-4b3a-953e-603e138bb23b","2025000377_9701")</f>
      </c>
      <c r="C270" s="12" t="s">
        <v>25</v>
      </c>
      <c r="D270" s="13" t="s">
        <v>454</v>
      </c>
      <c r="E270" s="12" t="s">
        <v>494</v>
      </c>
      <c r="F270" s="12" t="s">
        <v>504</v>
      </c>
      <c r="G270" s="12" t="s">
        <v>746</v>
      </c>
      <c r="H270" s="12" t="s">
        <v>746</v>
      </c>
      <c r="I270" s="12" t="s">
        <v>25</v>
      </c>
      <c r="J270" s="12" t="s">
        <v>25</v>
      </c>
    </row>
    <row customHeight="1" ht="33" r="271">
      <c r="B271" s="12">
        <f>HYPERLINK("https://gesdoc.uis.edu.co/share/page/folder-details?nodeRef=workspace://SpacesStore/fa678ed2-fd28-43a6-93fd-10164080c07c","2025000414_9701")</f>
      </c>
      <c r="C271" s="12" t="s">
        <v>25</v>
      </c>
      <c r="D271" s="13" t="s">
        <v>454</v>
      </c>
      <c r="E271" s="12" t="s">
        <v>494</v>
      </c>
      <c r="F271" s="12" t="s">
        <v>504</v>
      </c>
      <c r="G271" s="12" t="s">
        <v>747</v>
      </c>
      <c r="H271" s="12" t="s">
        <v>747</v>
      </c>
      <c r="I271" s="12" t="s">
        <v>25</v>
      </c>
      <c r="J271" s="12" t="s">
        <v>25</v>
      </c>
    </row>
    <row customHeight="1" ht="33" r="272">
      <c r="B272" s="12">
        <f>HYPERLINK("https://gesdoc.uis.edu.co/share/page/folder-details?nodeRef=workspace://SpacesStore/95bb3e9c-5605-42df-89f5-eb803f5557bf","2025000412_9701")</f>
      </c>
      <c r="C272" s="12" t="s">
        <v>25</v>
      </c>
      <c r="D272" s="13" t="s">
        <v>454</v>
      </c>
      <c r="E272" s="12" t="s">
        <v>494</v>
      </c>
      <c r="F272" s="12" t="s">
        <v>504</v>
      </c>
      <c r="G272" s="12" t="s">
        <v>748</v>
      </c>
      <c r="H272" s="12" t="s">
        <v>747</v>
      </c>
      <c r="I272" s="12" t="s">
        <v>25</v>
      </c>
      <c r="J272" s="12" t="s">
        <v>25</v>
      </c>
    </row>
    <row customHeight="1" ht="33" r="273">
      <c r="B273" s="12">
        <f>HYPERLINK("https://gesdoc.uis.edu.co/share/page/folder-details?nodeRef=workspace://SpacesStore/62ef0425-6759-4012-aa23-b0aa7662e953","2025000424_9701")</f>
      </c>
      <c r="C273" s="12" t="s">
        <v>25</v>
      </c>
      <c r="D273" s="13" t="s">
        <v>454</v>
      </c>
      <c r="E273" s="12" t="s">
        <v>494</v>
      </c>
      <c r="F273" s="12" t="s">
        <v>504</v>
      </c>
      <c r="G273" s="12" t="s">
        <v>749</v>
      </c>
      <c r="H273" s="12" t="s">
        <v>749</v>
      </c>
      <c r="I273" s="12" t="s">
        <v>25</v>
      </c>
      <c r="J273" s="12" t="s">
        <v>25</v>
      </c>
    </row>
    <row customHeight="1" ht="33" r="274">
      <c r="B274" s="12">
        <f>HYPERLINK("https://gesdoc.uis.edu.co/share/page/folder-details?nodeRef=workspace://SpacesStore/a2c800bd-aa23-4fb0-ac12-c15ed7187ade","2025000423_9701")</f>
      </c>
      <c r="C274" s="12" t="s">
        <v>25</v>
      </c>
      <c r="D274" s="13" t="s">
        <v>454</v>
      </c>
      <c r="E274" s="12" t="s">
        <v>494</v>
      </c>
      <c r="F274" s="12" t="s">
        <v>504</v>
      </c>
      <c r="G274" s="12" t="s">
        <v>750</v>
      </c>
      <c r="H274" s="12" t="s">
        <v>749</v>
      </c>
      <c r="I274" s="12" t="s">
        <v>25</v>
      </c>
      <c r="J274" s="12" t="s">
        <v>25</v>
      </c>
    </row>
    <row customHeight="1" ht="33" r="275">
      <c r="B275" s="12">
        <f>HYPERLINK("https://gesdoc.uis.edu.co/share/page/folder-details?nodeRef=workspace://SpacesStore/3786e3c4-e9b6-46c8-856b-eacf86a8cf51","2025000459_9701")</f>
      </c>
      <c r="C275" s="12" t="s">
        <v>25</v>
      </c>
      <c r="D275" s="13" t="s">
        <v>454</v>
      </c>
      <c r="E275" s="12" t="s">
        <v>494</v>
      </c>
      <c r="F275" s="12" t="s">
        <v>504</v>
      </c>
      <c r="G275" s="12" t="s">
        <v>751</v>
      </c>
      <c r="H275" s="12" t="s">
        <v>751</v>
      </c>
      <c r="I275" s="12" t="s">
        <v>25</v>
      </c>
      <c r="J275" s="12" t="s">
        <v>25</v>
      </c>
    </row>
    <row customHeight="1" ht="33" r="276">
      <c r="B276" s="12">
        <f>HYPERLINK("https://gesdoc.uis.edu.co/share/page/folder-details?nodeRef=workspace://SpacesStore/cc241785-e740-4c9e-982c-8633722b5637","2025000461_9702")</f>
      </c>
      <c r="C276" s="12" t="s">
        <v>25</v>
      </c>
      <c r="D276" s="13" t="s">
        <v>454</v>
      </c>
      <c r="E276" s="12" t="s">
        <v>494</v>
      </c>
      <c r="F276" s="12" t="s">
        <v>504</v>
      </c>
      <c r="G276" s="12" t="s">
        <v>751</v>
      </c>
      <c r="H276" s="12" t="s">
        <v>820</v>
      </c>
      <c r="I276" s="12" t="s">
        <v>25</v>
      </c>
      <c r="J276" s="12" t="s">
        <v>25</v>
      </c>
    </row>
    <row customHeight="1" ht="33" r="277">
      <c r="B277" s="12">
        <f>HYPERLINK("https://gesdoc.uis.edu.co/share/page/folder-details?nodeRef=workspace://SpacesStore/d4c0381c-3d3c-4474-a15b-710c82125fe3","2025000460_9701")</f>
      </c>
      <c r="C277" s="12" t="s">
        <v>25</v>
      </c>
      <c r="D277" s="13" t="s">
        <v>454</v>
      </c>
      <c r="E277" s="12" t="s">
        <v>494</v>
      </c>
      <c r="F277" s="12" t="s">
        <v>504</v>
      </c>
      <c r="G277" s="12" t="s">
        <v>751</v>
      </c>
      <c r="H277" s="12" t="s">
        <v>751</v>
      </c>
      <c r="I277" s="12" t="s">
        <v>25</v>
      </c>
      <c r="J277" s="12" t="s">
        <v>25</v>
      </c>
    </row>
    <row customHeight="1" ht="33" r="278">
      <c r="B278" s="12">
        <f>HYPERLINK("https://gesdoc.uis.edu.co/share/page/folder-details?nodeRef=workspace://SpacesStore/eb3334f4-58ef-40bf-b85b-49cebc562dca","2025000042_9702")</f>
      </c>
      <c r="C278" s="12" t="s">
        <v>25</v>
      </c>
      <c r="D278" s="13" t="s">
        <v>454</v>
      </c>
      <c r="E278" s="12" t="s">
        <v>494</v>
      </c>
      <c r="F278" s="12" t="s">
        <v>504</v>
      </c>
      <c r="G278" s="12" t="s">
        <v>752</v>
      </c>
      <c r="H278" s="12" t="s">
        <v>752</v>
      </c>
      <c r="I278" s="12" t="s">
        <v>25</v>
      </c>
      <c r="J278" s="12" t="s">
        <v>25</v>
      </c>
    </row>
    <row customHeight="1" ht="33" r="279">
      <c r="B279" s="12">
        <f>HYPERLINK("https://gesdoc.uis.edu.co/share/page/folder-details?nodeRef=workspace://SpacesStore/eafe190f-b4d0-484f-96fe-e02179a3c99b","2025000516_9701")</f>
      </c>
      <c r="C279" s="12" t="s">
        <v>25</v>
      </c>
      <c r="D279" s="13" t="s">
        <v>454</v>
      </c>
      <c r="E279" s="12" t="s">
        <v>494</v>
      </c>
      <c r="F279" s="12" t="s">
        <v>504</v>
      </c>
      <c r="G279" s="12" t="s">
        <v>753</v>
      </c>
      <c r="H279" s="12" t="s">
        <v>831</v>
      </c>
      <c r="I279" s="12" t="s">
        <v>25</v>
      </c>
      <c r="J279" s="12" t="s">
        <v>25</v>
      </c>
    </row>
    <row customHeight="1" ht="33" r="280">
      <c r="B280" s="12">
        <f>HYPERLINK("https://gesdoc.uis.edu.co/share/page/folder-details?nodeRef=workspace://SpacesStore/c82f90ad-564c-4281-bddf-96e2b737c101","2025000512_9701")</f>
      </c>
      <c r="C280" s="12" t="s">
        <v>25</v>
      </c>
      <c r="D280" s="13" t="s">
        <v>454</v>
      </c>
      <c r="E280" s="12" t="s">
        <v>494</v>
      </c>
      <c r="F280" s="12" t="s">
        <v>504</v>
      </c>
      <c r="G280" s="12" t="s">
        <v>753</v>
      </c>
      <c r="H280" s="12" t="s">
        <v>753</v>
      </c>
      <c r="I280" s="12" t="s">
        <v>25</v>
      </c>
      <c r="J280" s="12" t="s">
        <v>25</v>
      </c>
    </row>
    <row customHeight="1" ht="33" r="281">
      <c r="B281" s="12">
        <f>HYPERLINK("https://gesdoc.uis.edu.co/share/page/folder-details?nodeRef=workspace://SpacesStore/87bd2672-8ff1-481b-b695-c9db84cff576","2025000527_9701")</f>
      </c>
      <c r="C281" s="12" t="s">
        <v>25</v>
      </c>
      <c r="D281" s="13" t="s">
        <v>454</v>
      </c>
      <c r="E281" s="12" t="s">
        <v>494</v>
      </c>
      <c r="F281" s="12" t="s">
        <v>504</v>
      </c>
      <c r="G281" s="12" t="s">
        <v>754</v>
      </c>
      <c r="H281" s="12" t="s">
        <v>754</v>
      </c>
      <c r="I281" s="12" t="s">
        <v>25</v>
      </c>
      <c r="J281" s="12" t="s">
        <v>25</v>
      </c>
    </row>
    <row customHeight="1" ht="33" r="282">
      <c r="B282" s="12">
        <f>HYPERLINK("https://gesdoc.uis.edu.co/share/page/folder-details?nodeRef=workspace://SpacesStore/096ccc3a-a945-47bc-9c00-223c4f29392e","2025000544_9701")</f>
      </c>
      <c r="C282" s="12" t="s">
        <v>25</v>
      </c>
      <c r="D282" s="13" t="s">
        <v>454</v>
      </c>
      <c r="E282" s="12" t="s">
        <v>494</v>
      </c>
      <c r="F282" s="12" t="s">
        <v>504</v>
      </c>
      <c r="G282" s="12" t="s">
        <v>755</v>
      </c>
      <c r="H282" s="12" t="s">
        <v>755</v>
      </c>
      <c r="I282" s="12" t="s">
        <v>25</v>
      </c>
      <c r="J282" s="12" t="s">
        <v>25</v>
      </c>
    </row>
    <row customHeight="1" ht="33" r="283">
      <c r="B283" s="12">
        <f>HYPERLINK("https://gesdoc.uis.edu.co/share/page/folder-details?nodeRef=workspace://SpacesStore/84c47bc8-35ab-48ba-be83-203a52b40edf","2025000546_9701_9703")</f>
      </c>
      <c r="C283" s="12" t="s">
        <v>25</v>
      </c>
      <c r="D283" s="13" t="s">
        <v>454</v>
      </c>
      <c r="E283" s="12" t="s">
        <v>494</v>
      </c>
      <c r="F283" s="12" t="s">
        <v>504</v>
      </c>
      <c r="G283" s="12" t="s">
        <v>755</v>
      </c>
      <c r="H283" s="12" t="s">
        <v>1134</v>
      </c>
      <c r="I283" s="12" t="s">
        <v>25</v>
      </c>
      <c r="J283" s="12" t="s">
        <v>25</v>
      </c>
    </row>
    <row customHeight="1" ht="33" r="284">
      <c r="B284" s="12">
        <f>HYPERLINK("https://gesdoc.uis.edu.co/share/page/folder-details?nodeRef=workspace://SpacesStore/eab13e20-3c7b-4d7e-8036-9b1fba0fa06e","2025000542_9701")</f>
      </c>
      <c r="C284" s="12" t="s">
        <v>25</v>
      </c>
      <c r="D284" s="13" t="s">
        <v>454</v>
      </c>
      <c r="E284" s="12" t="s">
        <v>494</v>
      </c>
      <c r="F284" s="12" t="s">
        <v>504</v>
      </c>
      <c r="G284" s="12" t="s">
        <v>755</v>
      </c>
      <c r="H284" s="12" t="s">
        <v>755</v>
      </c>
      <c r="I284" s="12" t="s">
        <v>25</v>
      </c>
      <c r="J284" s="12" t="s">
        <v>25</v>
      </c>
    </row>
    <row customHeight="1" ht="33" r="285">
      <c r="B285" s="12">
        <f>HYPERLINK("https://gesdoc.uis.edu.co/share/page/folder-details?nodeRef=workspace://SpacesStore/57b75dd6-af0b-447b-8806-c9556d0aecba","2025003297_9701")</f>
      </c>
      <c r="C285" s="12" t="s">
        <v>25</v>
      </c>
      <c r="D285" s="13" t="s">
        <v>454</v>
      </c>
      <c r="E285" s="12" t="s">
        <v>494</v>
      </c>
      <c r="F285" s="12" t="s">
        <v>500</v>
      </c>
      <c r="G285" s="12" t="s">
        <v>756</v>
      </c>
      <c r="H285" s="12" t="s">
        <v>756</v>
      </c>
      <c r="I285" s="12" t="s">
        <v>25</v>
      </c>
      <c r="J285" s="12" t="s">
        <v>25</v>
      </c>
    </row>
    <row customHeight="1" ht="33" r="286">
      <c r="B286" s="12">
        <f>HYPERLINK("https://gesdoc.uis.edu.co/share/page/folder-details?nodeRef=workspace://SpacesStore/f4594344-6715-485e-8ea9-6d2cdd3563d1","2025003242_9702")</f>
      </c>
      <c r="C286" s="12" t="s">
        <v>25</v>
      </c>
      <c r="D286" s="13" t="s">
        <v>454</v>
      </c>
      <c r="E286" s="12" t="s">
        <v>494</v>
      </c>
      <c r="F286" s="12" t="s">
        <v>500</v>
      </c>
      <c r="G286" s="12" t="s">
        <v>756</v>
      </c>
      <c r="H286" s="12" t="s">
        <v>756</v>
      </c>
      <c r="I286" s="12" t="s">
        <v>25</v>
      </c>
      <c r="J286" s="12" t="s">
        <v>25</v>
      </c>
    </row>
    <row customHeight="1" ht="33" r="287">
      <c r="B287" s="12">
        <f>HYPERLINK("https://gesdoc.uis.edu.co/share/page/folder-details?nodeRef=workspace://SpacesStore/9d56e4f7-8755-496c-b1f3-16f5f3973a1f","0018_2026002410_9256")</f>
      </c>
      <c r="C287" s="12" t="s">
        <v>242</v>
      </c>
      <c r="D287" s="13" t="s">
        <v>471</v>
      </c>
      <c r="E287" s="12" t="s">
        <v>494</v>
      </c>
      <c r="F287" s="12" t="s">
        <v>500</v>
      </c>
      <c r="G287" s="12" t="s">
        <v>757</v>
      </c>
      <c r="H287" s="12" t="s">
        <v>1135</v>
      </c>
      <c r="I287" s="12" t="s">
        <v>25</v>
      </c>
      <c r="J287" s="12" t="s">
        <v>25</v>
      </c>
    </row>
    <row customHeight="1" ht="33" r="288">
      <c r="B288" s="12">
        <f>HYPERLINK("https://gesdoc.uis.edu.co/share/page/folder-details?nodeRef=workspace://SpacesStore/6e24e78d-191b-41e9-b75e-18e98aabfae4","0018_2026002430_7810")</f>
      </c>
      <c r="C288" s="12" t="s">
        <v>243</v>
      </c>
      <c r="D288" s="13" t="s">
        <v>477</v>
      </c>
      <c r="E288" s="12" t="s">
        <v>494</v>
      </c>
      <c r="F288" s="12" t="s">
        <v>500</v>
      </c>
      <c r="G288" s="12" t="s">
        <v>758</v>
      </c>
      <c r="H288" s="12" t="s">
        <v>1136</v>
      </c>
      <c r="I288" s="12" t="s">
        <v>25</v>
      </c>
      <c r="J288" s="12" t="s">
        <v>25</v>
      </c>
    </row>
    <row customHeight="1" ht="33" r="289">
      <c r="B289" s="12">
        <f>HYPERLINK("https://gesdoc.uis.edu.co/share/page/folder-details?nodeRef=workspace://SpacesStore/ef888e01-2569-4b52-b426-58f918afc1ba","0018_2026002409_7810")</f>
      </c>
      <c r="C289" s="12" t="s">
        <v>244</v>
      </c>
      <c r="D289" s="13" t="s">
        <v>477</v>
      </c>
      <c r="E289" s="12" t="s">
        <v>494</v>
      </c>
      <c r="F289" s="12" t="s">
        <v>500</v>
      </c>
      <c r="G289" s="12" t="s">
        <v>759</v>
      </c>
      <c r="H289" s="12" t="s">
        <v>1137</v>
      </c>
      <c r="I289" s="12" t="s">
        <v>25</v>
      </c>
      <c r="J289" s="12" t="s">
        <v>25</v>
      </c>
    </row>
    <row customHeight="1" ht="33" r="290">
      <c r="B290" s="12">
        <f>HYPERLINK("https://gesdoc.uis.edu.co/share/page/folder-details?nodeRef=workspace://SpacesStore/bf6b51ac-1d22-40d5-8c08-29b142cb4d49","0298_2026000257_3160_EV048")</f>
      </c>
      <c r="C290" s="12" t="s">
        <v>245</v>
      </c>
      <c r="D290" s="13" t="s">
        <v>440</v>
      </c>
      <c r="E290" s="12" t="s">
        <v>494</v>
      </c>
      <c r="F290" s="12" t="s">
        <v>499</v>
      </c>
      <c r="G290" s="12" t="s">
        <v>760</v>
      </c>
      <c r="H290" s="12" t="s">
        <v>1138</v>
      </c>
      <c r="I290" s="12" t="s">
        <v>1256</v>
      </c>
      <c r="J290" s="12" t="s">
        <v>1263</v>
      </c>
    </row>
    <row customHeight="1" ht="33" r="291">
      <c r="B291" s="12">
        <f>HYPERLINK("https://gesdoc.uis.edu.co/share/page/folder-details?nodeRef=workspace://SpacesStore/9f7529ff-99da-459f-9fab-57db1348002e","0020_2026000328_2240")</f>
      </c>
      <c r="C291" s="12" t="s">
        <v>246</v>
      </c>
      <c r="D291" s="13" t="s">
        <v>438</v>
      </c>
      <c r="E291" s="12" t="s">
        <v>494</v>
      </c>
      <c r="F291" s="12" t="s">
        <v>495</v>
      </c>
      <c r="G291" s="12" t="s">
        <v>761</v>
      </c>
      <c r="H291" s="12" t="s">
        <v>761</v>
      </c>
      <c r="I291" s="12" t="s">
        <v>25</v>
      </c>
      <c r="J291" s="12" t="s">
        <v>25</v>
      </c>
    </row>
    <row customHeight="1" ht="33" r="292">
      <c r="B292" s="12">
        <f>HYPERLINK("https://gesdoc.uis.edu.co/share/page/folder-details?nodeRef=workspace://SpacesStore/4fa426f5-804f-44a8-97cd-63970c524e07","0018_2026002456_7810")</f>
      </c>
      <c r="C292" s="12" t="s">
        <v>247</v>
      </c>
      <c r="D292" s="13" t="s">
        <v>477</v>
      </c>
      <c r="E292" s="12" t="s">
        <v>494</v>
      </c>
      <c r="F292" s="12" t="s">
        <v>500</v>
      </c>
      <c r="G292" s="12" t="s">
        <v>762</v>
      </c>
      <c r="H292" s="12" t="s">
        <v>763</v>
      </c>
      <c r="I292" s="12" t="s">
        <v>25</v>
      </c>
      <c r="J292" s="12" t="s">
        <v>25</v>
      </c>
    </row>
    <row customHeight="1" ht="33" r="293">
      <c r="B293" s="12">
        <f>HYPERLINK("https://gesdoc.uis.edu.co/share/page/folder-details?nodeRef=workspace://SpacesStore/20273c87-e073-4894-903e-4cc90af06b14","0018_2026002469")</f>
      </c>
      <c r="C293" s="12" t="s">
        <v>248</v>
      </c>
      <c r="D293" s="13" t="s">
        <v>448</v>
      </c>
      <c r="E293" s="12" t="s">
        <v>494</v>
      </c>
      <c r="F293" s="12" t="s">
        <v>500</v>
      </c>
      <c r="G293" s="12" t="s">
        <v>763</v>
      </c>
      <c r="H293" s="12" t="s">
        <v>763</v>
      </c>
      <c r="I293" s="12" t="s">
        <v>25</v>
      </c>
      <c r="J293" s="12" t="s">
        <v>25</v>
      </c>
    </row>
    <row customHeight="1" ht="33" r="294">
      <c r="B294" s="12">
        <f>HYPERLINK("https://gesdoc.uis.edu.co/share/page/folder-details?nodeRef=workspace://SpacesStore/69bf4780-0b07-4b80-8070-2285209a0fd9","0298_2025000396_3160_EV005")</f>
      </c>
      <c r="C294" s="12" t="s">
        <v>249</v>
      </c>
      <c r="D294" s="13" t="s">
        <v>440</v>
      </c>
      <c r="E294" s="12" t="s">
        <v>494</v>
      </c>
      <c r="F294" s="12" t="s">
        <v>499</v>
      </c>
      <c r="G294" s="12" t="s">
        <v>764</v>
      </c>
      <c r="H294" s="12" t="s">
        <v>764</v>
      </c>
      <c r="I294" s="12" t="s">
        <v>1256</v>
      </c>
      <c r="J294" s="12" t="s">
        <v>1261</v>
      </c>
    </row>
    <row customHeight="1" ht="33" r="295">
      <c r="B295" s="12">
        <f>HYPERLINK("https://gesdoc.uis.edu.co/share/page/folder-details?nodeRef=workspace://SpacesStore/0a736bfe-7cba-43a5-8395-8e519ee4f2de","0018_2026002379_7912")</f>
      </c>
      <c r="C295" s="12" t="s">
        <v>250</v>
      </c>
      <c r="D295" s="13" t="s">
        <v>442</v>
      </c>
      <c r="E295" s="12" t="s">
        <v>494</v>
      </c>
      <c r="F295" s="12" t="s">
        <v>500</v>
      </c>
      <c r="G295" s="12" t="s">
        <v>765</v>
      </c>
      <c r="H295" s="12" t="s">
        <v>1139</v>
      </c>
      <c r="I295" s="12" t="s">
        <v>25</v>
      </c>
      <c r="J295" s="12" t="s">
        <v>25</v>
      </c>
    </row>
    <row customHeight="1" ht="33" r="296">
      <c r="B296" s="12">
        <f>HYPERLINK("https://gesdoc.uis.edu.co/share/page/folder-details?nodeRef=workspace://SpacesStore/3dc20204-7b95-43d2-a746-4bed6db0d9bf","0234_2026001065_7046")</f>
      </c>
      <c r="C296" s="12" t="s">
        <v>251</v>
      </c>
      <c r="D296" s="13" t="s">
        <v>478</v>
      </c>
      <c r="E296" s="12" t="s">
        <v>494</v>
      </c>
      <c r="F296" s="12" t="s">
        <v>501</v>
      </c>
      <c r="G296" s="12" t="s">
        <v>766</v>
      </c>
      <c r="H296" s="12" t="s">
        <v>766</v>
      </c>
      <c r="I296" s="12" t="s">
        <v>25</v>
      </c>
      <c r="J296" s="12" t="s">
        <v>25</v>
      </c>
    </row>
    <row customHeight="1" ht="33" r="297">
      <c r="B297" s="12">
        <f>HYPERLINK("https://gesdoc.uis.edu.co/share/page/folder-details?nodeRef=workspace://SpacesStore/51d899a7-2b21-489e-be21-212567d7cbe2","0234_2026001064_7046")</f>
      </c>
      <c r="C297" s="12" t="s">
        <v>252</v>
      </c>
      <c r="D297" s="13" t="s">
        <v>478</v>
      </c>
      <c r="E297" s="12" t="s">
        <v>494</v>
      </c>
      <c r="F297" s="12" t="s">
        <v>501</v>
      </c>
      <c r="G297" s="12" t="s">
        <v>766</v>
      </c>
      <c r="H297" s="12" t="s">
        <v>766</v>
      </c>
      <c r="I297" s="12" t="s">
        <v>25</v>
      </c>
      <c r="J297" s="12" t="s">
        <v>25</v>
      </c>
    </row>
    <row customHeight="1" ht="33" r="298">
      <c r="B298" s="12">
        <f>HYPERLINK("https://gesdoc.uis.edu.co/share/page/folder-details?nodeRef=workspace://SpacesStore/b3fa65d2-a9b7-4c92-8b0b-e8b358991394","0020_2026000332_9272")</f>
      </c>
      <c r="C298" s="12" t="s">
        <v>253</v>
      </c>
      <c r="D298" s="13" t="s">
        <v>444</v>
      </c>
      <c r="E298" s="12" t="s">
        <v>494</v>
      </c>
      <c r="F298" s="12" t="s">
        <v>495</v>
      </c>
      <c r="G298" s="12" t="s">
        <v>767</v>
      </c>
      <c r="H298" s="12" t="s">
        <v>1140</v>
      </c>
      <c r="I298" s="12" t="s">
        <v>25</v>
      </c>
      <c r="J298" s="12" t="s">
        <v>25</v>
      </c>
    </row>
    <row customHeight="1" ht="33" r="299">
      <c r="B299" s="12">
        <f>HYPERLINK("https://gesdoc.uis.edu.co/share/page/folder-details?nodeRef=workspace://SpacesStore/fff3de3a-49bf-4118-9d9e-33cfde87652b","0234_2026011044_7046")</f>
      </c>
      <c r="C299" s="12" t="s">
        <v>254</v>
      </c>
      <c r="D299" s="13" t="s">
        <v>478</v>
      </c>
      <c r="E299" s="12" t="s">
        <v>494</v>
      </c>
      <c r="F299" s="12" t="s">
        <v>501</v>
      </c>
      <c r="G299" s="12" t="s">
        <v>768</v>
      </c>
      <c r="H299" s="12" t="s">
        <v>768</v>
      </c>
      <c r="I299" s="12" t="s">
        <v>25</v>
      </c>
      <c r="J299" s="12" t="s">
        <v>25</v>
      </c>
    </row>
    <row customHeight="1" ht="33" r="300">
      <c r="B300" s="12">
        <f>HYPERLINK("https://gesdoc.uis.edu.co/share/page/folder-details?nodeRef=workspace://SpacesStore/4ca70871-eb76-4b3b-a9d5-235bcff2fb02","0234_2026011050_7046")</f>
      </c>
      <c r="C300" s="12" t="s">
        <v>255</v>
      </c>
      <c r="D300" s="13" t="s">
        <v>478</v>
      </c>
      <c r="E300" s="12" t="s">
        <v>494</v>
      </c>
      <c r="F300" s="12" t="s">
        <v>501</v>
      </c>
      <c r="G300" s="12" t="s">
        <v>768</v>
      </c>
      <c r="H300" s="12" t="s">
        <v>768</v>
      </c>
      <c r="I300" s="12" t="s">
        <v>25</v>
      </c>
      <c r="J300" s="12" t="s">
        <v>25</v>
      </c>
    </row>
    <row customHeight="1" ht="33" r="301">
      <c r="B301" s="12">
        <f>HYPERLINK("https://gesdoc.uis.edu.co/share/page/folder-details?nodeRef=workspace://SpacesStore/3d930636-439f-421c-b807-bcfb2222f2b9","0234_2026011282_7046")</f>
      </c>
      <c r="C301" s="12" t="s">
        <v>256</v>
      </c>
      <c r="D301" s="13" t="s">
        <v>478</v>
      </c>
      <c r="E301" s="12" t="s">
        <v>494</v>
      </c>
      <c r="F301" s="12" t="s">
        <v>501</v>
      </c>
      <c r="G301" s="12" t="s">
        <v>768</v>
      </c>
      <c r="H301" s="12" t="s">
        <v>768</v>
      </c>
      <c r="I301" s="12" t="s">
        <v>25</v>
      </c>
      <c r="J301" s="12" t="s">
        <v>25</v>
      </c>
    </row>
    <row customHeight="1" ht="33" r="302">
      <c r="B302" s="12">
        <f>HYPERLINK("https://gesdoc.uis.edu.co/share/page/folder-details?nodeRef=workspace://SpacesStore/10e1b7ad-697d-437e-9cb4-f4506fe545d1","0234_2026011471_2240")</f>
      </c>
      <c r="C302" s="12" t="s">
        <v>257</v>
      </c>
      <c r="D302" s="13" t="s">
        <v>438</v>
      </c>
      <c r="E302" s="12" t="s">
        <v>494</v>
      </c>
      <c r="F302" s="12" t="s">
        <v>501</v>
      </c>
      <c r="G302" s="12" t="s">
        <v>596</v>
      </c>
      <c r="H302" s="12" t="s">
        <v>1140</v>
      </c>
      <c r="I302" s="12" t="s">
        <v>25</v>
      </c>
      <c r="J302" s="12" t="s">
        <v>25</v>
      </c>
    </row>
    <row customHeight="1" ht="33" r="303">
      <c r="B303" s="12">
        <f>HYPERLINK("https://gesdoc.uis.edu.co/share/page/folder-details?nodeRef=workspace://SpacesStore/ead1dae8-62fe-4c52-bcf3-6ac988b3d672","0234_2026011429_2240")</f>
      </c>
      <c r="C303" s="12" t="s">
        <v>258</v>
      </c>
      <c r="D303" s="13" t="s">
        <v>438</v>
      </c>
      <c r="E303" s="12" t="s">
        <v>494</v>
      </c>
      <c r="F303" s="12" t="s">
        <v>501</v>
      </c>
      <c r="G303" s="12" t="s">
        <v>769</v>
      </c>
      <c r="H303" s="12" t="s">
        <v>1141</v>
      </c>
      <c r="I303" s="12" t="s">
        <v>25</v>
      </c>
      <c r="J303" s="12" t="s">
        <v>25</v>
      </c>
    </row>
    <row customHeight="1" ht="33" r="304">
      <c r="B304" s="12">
        <f>HYPERLINK("https://gesdoc.uis.edu.co/share/page/folder-details?nodeRef=workspace://SpacesStore/20b8aa14-87f6-4c6d-a6da-a9c89bc33dc4","0234_2026008572_7046")</f>
      </c>
      <c r="C304" s="12" t="s">
        <v>259</v>
      </c>
      <c r="D304" s="13" t="s">
        <v>478</v>
      </c>
      <c r="E304" s="12" t="s">
        <v>494</v>
      </c>
      <c r="F304" s="12" t="s">
        <v>501</v>
      </c>
      <c r="G304" s="12" t="s">
        <v>770</v>
      </c>
      <c r="H304" s="12" t="s">
        <v>1142</v>
      </c>
      <c r="I304" s="12" t="s">
        <v>25</v>
      </c>
      <c r="J304" s="12" t="s">
        <v>25</v>
      </c>
    </row>
    <row customHeight="1" ht="33" r="305">
      <c r="B305" s="12">
        <f>HYPERLINK("https://gesdoc.uis.edu.co/share/page/folder-details?nodeRef=workspace://SpacesStore/6ddd193b-3185-48f0-b753-683641dbc44b","0234_2026010679_7046")</f>
      </c>
      <c r="C305" s="12" t="s">
        <v>260</v>
      </c>
      <c r="D305" s="13" t="s">
        <v>478</v>
      </c>
      <c r="E305" s="12" t="s">
        <v>494</v>
      </c>
      <c r="F305" s="12" t="s">
        <v>501</v>
      </c>
      <c r="G305" s="12" t="s">
        <v>770</v>
      </c>
      <c r="H305" s="12" t="s">
        <v>771</v>
      </c>
      <c r="I305" s="12" t="s">
        <v>25</v>
      </c>
      <c r="J305" s="12" t="s">
        <v>25</v>
      </c>
    </row>
    <row customHeight="1" ht="33" r="306">
      <c r="B306" s="12">
        <f>HYPERLINK("https://gesdoc.uis.edu.co/share/page/folder-details?nodeRef=workspace://SpacesStore/72198937-1275-46f6-b24c-ff08bd9133e2","0234_2026010730_7046")</f>
      </c>
      <c r="C306" s="12" t="s">
        <v>261</v>
      </c>
      <c r="D306" s="13" t="s">
        <v>478</v>
      </c>
      <c r="E306" s="12" t="s">
        <v>494</v>
      </c>
      <c r="F306" s="12" t="s">
        <v>501</v>
      </c>
      <c r="G306" s="12" t="s">
        <v>770</v>
      </c>
      <c r="H306" s="12" t="s">
        <v>771</v>
      </c>
      <c r="I306" s="12" t="s">
        <v>25</v>
      </c>
      <c r="J306" s="12" t="s">
        <v>25</v>
      </c>
    </row>
    <row customHeight="1" ht="33" r="307">
      <c r="B307" s="12">
        <f>HYPERLINK("https://gesdoc.uis.edu.co/share/page/folder-details?nodeRef=workspace://SpacesStore/edded568-19c8-4a55-9474-36c7824922df","0234_2026010731_7046")</f>
      </c>
      <c r="C307" s="12" t="s">
        <v>262</v>
      </c>
      <c r="D307" s="13" t="s">
        <v>478</v>
      </c>
      <c r="E307" s="12" t="s">
        <v>494</v>
      </c>
      <c r="F307" s="12" t="s">
        <v>501</v>
      </c>
      <c r="G307" s="12" t="s">
        <v>770</v>
      </c>
      <c r="H307" s="12" t="s">
        <v>771</v>
      </c>
      <c r="I307" s="12" t="s">
        <v>25</v>
      </c>
      <c r="J307" s="12" t="s">
        <v>25</v>
      </c>
    </row>
    <row customHeight="1" ht="33" r="308">
      <c r="B308" s="12">
        <f>HYPERLINK("https://gesdoc.uis.edu.co/share/page/folder-details?nodeRef=workspace://SpacesStore/a0441a18-6fba-4711-8488-71bc6ec3697b","0234_2026010768_7046")</f>
      </c>
      <c r="C308" s="12" t="s">
        <v>263</v>
      </c>
      <c r="D308" s="13" t="s">
        <v>478</v>
      </c>
      <c r="E308" s="12" t="s">
        <v>494</v>
      </c>
      <c r="F308" s="12" t="s">
        <v>501</v>
      </c>
      <c r="G308" s="12" t="s">
        <v>770</v>
      </c>
      <c r="H308" s="12" t="s">
        <v>771</v>
      </c>
      <c r="I308" s="12" t="s">
        <v>25</v>
      </c>
      <c r="J308" s="12" t="s">
        <v>25</v>
      </c>
    </row>
    <row customHeight="1" ht="33" r="309">
      <c r="B309" s="12">
        <f>HYPERLINK("https://gesdoc.uis.edu.co/share/page/folder-details?nodeRef=workspace://SpacesStore/a2389712-7566-489d-8546-e9d5bf30d3df","0234_2026010675_7046")</f>
      </c>
      <c r="C309" s="12" t="s">
        <v>264</v>
      </c>
      <c r="D309" s="13" t="s">
        <v>478</v>
      </c>
      <c r="E309" s="12" t="s">
        <v>494</v>
      </c>
      <c r="F309" s="12" t="s">
        <v>501</v>
      </c>
      <c r="G309" s="12" t="s">
        <v>771</v>
      </c>
      <c r="H309" s="12" t="s">
        <v>771</v>
      </c>
      <c r="I309" s="12" t="s">
        <v>25</v>
      </c>
      <c r="J309" s="12" t="s">
        <v>25</v>
      </c>
    </row>
    <row customHeight="1" ht="33" r="310">
      <c r="B310" s="12">
        <f>HYPERLINK("https://gesdoc.uis.edu.co/share/page/folder-details?nodeRef=workspace://SpacesStore/e1ec2e44-0115-4472-bb72-511e9d897849","0234_2026010900_7046")</f>
      </c>
      <c r="C310" s="12" t="s">
        <v>265</v>
      </c>
      <c r="D310" s="13" t="s">
        <v>478</v>
      </c>
      <c r="E310" s="12" t="s">
        <v>494</v>
      </c>
      <c r="F310" s="12" t="s">
        <v>501</v>
      </c>
      <c r="G310" s="12" t="s">
        <v>770</v>
      </c>
      <c r="H310" s="12" t="s">
        <v>771</v>
      </c>
      <c r="I310" s="12" t="s">
        <v>25</v>
      </c>
      <c r="J310" s="12" t="s">
        <v>25</v>
      </c>
    </row>
    <row customHeight="1" ht="33" r="311">
      <c r="B311" s="12">
        <f>HYPERLINK("https://gesdoc.uis.edu.co/share/page/folder-details?nodeRef=workspace://SpacesStore/9e465d09-1f06-4629-a4cb-bda141f9ece1","0234_2026010810_7046")</f>
      </c>
      <c r="C311" s="12" t="s">
        <v>266</v>
      </c>
      <c r="D311" s="13" t="s">
        <v>478</v>
      </c>
      <c r="E311" s="12" t="s">
        <v>494</v>
      </c>
      <c r="F311" s="12" t="s">
        <v>501</v>
      </c>
      <c r="G311" s="12" t="s">
        <v>770</v>
      </c>
      <c r="H311" s="12" t="s">
        <v>771</v>
      </c>
      <c r="I311" s="12" t="s">
        <v>25</v>
      </c>
      <c r="J311" s="12" t="s">
        <v>25</v>
      </c>
    </row>
    <row customHeight="1" ht="33" r="312">
      <c r="B312" s="12">
        <f>HYPERLINK("https://gesdoc.uis.edu.co/share/page/folder-details?nodeRef=workspace://SpacesStore/9339b5f3-580c-4e76-a874-67c2d926b601","0234_2026010075_7046")</f>
      </c>
      <c r="C312" s="12" t="s">
        <v>267</v>
      </c>
      <c r="D312" s="13" t="s">
        <v>478</v>
      </c>
      <c r="E312" s="12" t="s">
        <v>494</v>
      </c>
      <c r="F312" s="12" t="s">
        <v>501</v>
      </c>
      <c r="G312" s="12" t="s">
        <v>770</v>
      </c>
      <c r="H312" s="12" t="s">
        <v>771</v>
      </c>
      <c r="I312" s="12" t="s">
        <v>25</v>
      </c>
      <c r="J312" s="12" t="s">
        <v>25</v>
      </c>
    </row>
    <row customHeight="1" ht="33" r="313">
      <c r="B313" s="12">
        <f>HYPERLINK("https://gesdoc.uis.edu.co/share/page/folder-details?nodeRef=workspace://SpacesStore/f48d2200-d776-4c05-8b6d-20968678cbb4","0234_2026010134_7046")</f>
      </c>
      <c r="C313" s="12" t="s">
        <v>268</v>
      </c>
      <c r="D313" s="13" t="s">
        <v>478</v>
      </c>
      <c r="E313" s="12" t="s">
        <v>494</v>
      </c>
      <c r="F313" s="12" t="s">
        <v>501</v>
      </c>
      <c r="G313" s="12" t="s">
        <v>770</v>
      </c>
      <c r="H313" s="12" t="s">
        <v>771</v>
      </c>
      <c r="I313" s="12" t="s">
        <v>25</v>
      </c>
      <c r="J313" s="12" t="s">
        <v>25</v>
      </c>
    </row>
    <row customHeight="1" ht="33" r="314">
      <c r="B314" s="12">
        <f>HYPERLINK("https://gesdoc.uis.edu.co/share/page/folder-details?nodeRef=workspace://SpacesStore/750b8ecd-964e-4621-8f85-913962675f58","0234_2026010583_7046")</f>
      </c>
      <c r="C314" s="12" t="s">
        <v>269</v>
      </c>
      <c r="D314" s="13" t="s">
        <v>478</v>
      </c>
      <c r="E314" s="12" t="s">
        <v>494</v>
      </c>
      <c r="F314" s="12" t="s">
        <v>501</v>
      </c>
      <c r="G314" s="12" t="s">
        <v>770</v>
      </c>
      <c r="H314" s="12" t="s">
        <v>771</v>
      </c>
      <c r="I314" s="12" t="s">
        <v>25</v>
      </c>
      <c r="J314" s="12" t="s">
        <v>25</v>
      </c>
    </row>
    <row customHeight="1" ht="33" r="315">
      <c r="B315" s="12">
        <f>HYPERLINK("https://gesdoc.uis.edu.co/share/page/folder-details?nodeRef=workspace://SpacesStore/1b5bba48-381d-49fa-8364-cb58cf60a3e6","0234_2026010674_7046")</f>
      </c>
      <c r="C315" s="12" t="s">
        <v>270</v>
      </c>
      <c r="D315" s="13" t="s">
        <v>478</v>
      </c>
      <c r="E315" s="12" t="s">
        <v>494</v>
      </c>
      <c r="F315" s="12" t="s">
        <v>501</v>
      </c>
      <c r="G315" s="12" t="s">
        <v>770</v>
      </c>
      <c r="H315" s="12" t="s">
        <v>771</v>
      </c>
      <c r="I315" s="12" t="s">
        <v>25</v>
      </c>
      <c r="J315" s="12" t="s">
        <v>25</v>
      </c>
    </row>
    <row customHeight="1" ht="33" r="316">
      <c r="B316" s="12">
        <f>HYPERLINK("https://gesdoc.uis.edu.co/share/page/folder-details?nodeRef=workspace://SpacesStore/4e580c00-b280-4f46-9294-bdf74b0db6f9","0234_2026010680_7046")</f>
      </c>
      <c r="C316" s="12" t="s">
        <v>271</v>
      </c>
      <c r="D316" s="13" t="s">
        <v>478</v>
      </c>
      <c r="E316" s="12" t="s">
        <v>494</v>
      </c>
      <c r="F316" s="12" t="s">
        <v>501</v>
      </c>
      <c r="G316" s="12" t="s">
        <v>770</v>
      </c>
      <c r="H316" s="12" t="s">
        <v>771</v>
      </c>
      <c r="I316" s="12" t="s">
        <v>25</v>
      </c>
      <c r="J316" s="12" t="s">
        <v>25</v>
      </c>
    </row>
    <row customHeight="1" ht="33" r="317">
      <c r="B317" s="12">
        <f>HYPERLINK("https://gesdoc.uis.edu.co/share/page/folder-details?nodeRef=workspace://SpacesStore/597fc186-7e71-4402-886d-a07763c69d89","0234_2026010683_7046")</f>
      </c>
      <c r="C317" s="12" t="s">
        <v>272</v>
      </c>
      <c r="D317" s="13" t="s">
        <v>478</v>
      </c>
      <c r="E317" s="12" t="s">
        <v>494</v>
      </c>
      <c r="F317" s="12" t="s">
        <v>501</v>
      </c>
      <c r="G317" s="12" t="s">
        <v>770</v>
      </c>
      <c r="H317" s="12" t="s">
        <v>771</v>
      </c>
      <c r="I317" s="12" t="s">
        <v>25</v>
      </c>
      <c r="J317" s="12" t="s">
        <v>25</v>
      </c>
    </row>
    <row customHeight="1" ht="33" r="318">
      <c r="B318" s="12">
        <f>HYPERLINK("https://gesdoc.uis.edu.co/share/page/folder-details?nodeRef=workspace://SpacesStore/ef6ae33b-1e4f-44d3-ba8e-1d66abf0b803","0234_2026009198_7046")</f>
      </c>
      <c r="C318" s="12" t="s">
        <v>273</v>
      </c>
      <c r="D318" s="13" t="s">
        <v>478</v>
      </c>
      <c r="E318" s="12" t="s">
        <v>494</v>
      </c>
      <c r="F318" s="12" t="s">
        <v>501</v>
      </c>
      <c r="G318" s="12" t="s">
        <v>770</v>
      </c>
      <c r="H318" s="12" t="s">
        <v>771</v>
      </c>
      <c r="I318" s="12" t="s">
        <v>25</v>
      </c>
      <c r="J318" s="12" t="s">
        <v>25</v>
      </c>
    </row>
    <row customHeight="1" ht="33" r="319">
      <c r="B319" s="12">
        <f>HYPERLINK("https://gesdoc.uis.edu.co/share/page/folder-details?nodeRef=workspace://SpacesStore/b56c5004-c1f9-48c9-8686-ef1f5ea5d7be","0234_2026009801_7046")</f>
      </c>
      <c r="C319" s="12" t="s">
        <v>274</v>
      </c>
      <c r="D319" s="13" t="s">
        <v>478</v>
      </c>
      <c r="E319" s="12" t="s">
        <v>494</v>
      </c>
      <c r="F319" s="12" t="s">
        <v>501</v>
      </c>
      <c r="G319" s="12" t="s">
        <v>770</v>
      </c>
      <c r="H319" s="12" t="s">
        <v>771</v>
      </c>
      <c r="I319" s="12" t="s">
        <v>25</v>
      </c>
      <c r="J319" s="12" t="s">
        <v>25</v>
      </c>
    </row>
    <row customHeight="1" ht="33" r="320">
      <c r="B320" s="12">
        <f>HYPERLINK("https://gesdoc.uis.edu.co/share/page/folder-details?nodeRef=workspace://SpacesStore/1dd1e484-e897-4532-92aa-ea2126c4f88e","0234_2026009803_7046")</f>
      </c>
      <c r="C320" s="12" t="s">
        <v>275</v>
      </c>
      <c r="D320" s="13" t="s">
        <v>478</v>
      </c>
      <c r="E320" s="12" t="s">
        <v>494</v>
      </c>
      <c r="F320" s="12" t="s">
        <v>501</v>
      </c>
      <c r="G320" s="12" t="s">
        <v>770</v>
      </c>
      <c r="H320" s="12" t="s">
        <v>771</v>
      </c>
      <c r="I320" s="12" t="s">
        <v>25</v>
      </c>
      <c r="J320" s="12" t="s">
        <v>25</v>
      </c>
    </row>
    <row customHeight="1" ht="33" r="321">
      <c r="B321" s="12">
        <f>HYPERLINK("https://gesdoc.uis.edu.co/share/page/folder-details?nodeRef=workspace://SpacesStore/d8d4cdfc-a025-4c53-b4d1-26389ad618f7","0234_2026009823_7046")</f>
      </c>
      <c r="C321" s="12" t="s">
        <v>276</v>
      </c>
      <c r="D321" s="13" t="s">
        <v>478</v>
      </c>
      <c r="E321" s="12" t="s">
        <v>494</v>
      </c>
      <c r="F321" s="12" t="s">
        <v>501</v>
      </c>
      <c r="G321" s="12" t="s">
        <v>770</v>
      </c>
      <c r="H321" s="12" t="s">
        <v>771</v>
      </c>
      <c r="I321" s="12" t="s">
        <v>25</v>
      </c>
      <c r="J321" s="12" t="s">
        <v>25</v>
      </c>
    </row>
    <row customHeight="1" ht="33" r="322">
      <c r="B322" s="12">
        <f>HYPERLINK("https://gesdoc.uis.edu.co/share/page/folder-details?nodeRef=workspace://SpacesStore/ddc60e4e-04d8-48e8-9c5d-6b48100938b8","0234_2026008719_7046")</f>
      </c>
      <c r="C322" s="12" t="s">
        <v>277</v>
      </c>
      <c r="D322" s="13" t="s">
        <v>478</v>
      </c>
      <c r="E322" s="12" t="s">
        <v>494</v>
      </c>
      <c r="F322" s="12" t="s">
        <v>501</v>
      </c>
      <c r="G322" s="12" t="s">
        <v>770</v>
      </c>
      <c r="H322" s="12" t="s">
        <v>1142</v>
      </c>
      <c r="I322" s="12" t="s">
        <v>25</v>
      </c>
      <c r="J322" s="12" t="s">
        <v>25</v>
      </c>
    </row>
    <row customHeight="1" ht="33" r="323">
      <c r="B323" s="12">
        <f>HYPERLINK("https://gesdoc.uis.edu.co/share/page/folder-details?nodeRef=workspace://SpacesStore/ecec455f-3dcc-4d2f-a382-3f6588749678","0234_2026008902_7046")</f>
      </c>
      <c r="C323" s="12" t="s">
        <v>278</v>
      </c>
      <c r="D323" s="13" t="s">
        <v>478</v>
      </c>
      <c r="E323" s="12" t="s">
        <v>494</v>
      </c>
      <c r="F323" s="12" t="s">
        <v>501</v>
      </c>
      <c r="G323" s="12" t="s">
        <v>770</v>
      </c>
      <c r="H323" s="12" t="s">
        <v>1142</v>
      </c>
      <c r="I323" s="12" t="s">
        <v>25</v>
      </c>
      <c r="J323" s="12" t="s">
        <v>25</v>
      </c>
    </row>
    <row customHeight="1" ht="33" r="324">
      <c r="B324" s="12">
        <f>HYPERLINK("https://gesdoc.uis.edu.co/share/page/folder-details?nodeRef=workspace://SpacesStore/b1817fc4-a8ec-465c-b804-8276891e70fc","0234_2026009189_7046")</f>
      </c>
      <c r="C324" s="12" t="s">
        <v>279</v>
      </c>
      <c r="D324" s="13" t="s">
        <v>478</v>
      </c>
      <c r="E324" s="12" t="s">
        <v>494</v>
      </c>
      <c r="F324" s="12" t="s">
        <v>501</v>
      </c>
      <c r="G324" s="12" t="s">
        <v>770</v>
      </c>
      <c r="H324" s="12" t="s">
        <v>771</v>
      </c>
      <c r="I324" s="12" t="s">
        <v>25</v>
      </c>
      <c r="J324" s="12" t="s">
        <v>25</v>
      </c>
    </row>
    <row customHeight="1" ht="33" r="325">
      <c r="B325" s="12">
        <f>HYPERLINK("https://gesdoc.uis.edu.co/share/page/folder-details?nodeRef=workspace://SpacesStore/679a5db0-cf33-479f-9138-9117208360fe","0234_2026009192_7046")</f>
      </c>
      <c r="C325" s="12" t="s">
        <v>280</v>
      </c>
      <c r="D325" s="13" t="s">
        <v>478</v>
      </c>
      <c r="E325" s="12" t="s">
        <v>494</v>
      </c>
      <c r="F325" s="12" t="s">
        <v>501</v>
      </c>
      <c r="G325" s="12" t="s">
        <v>770</v>
      </c>
      <c r="H325" s="12" t="s">
        <v>771</v>
      </c>
      <c r="I325" s="12" t="s">
        <v>25</v>
      </c>
      <c r="J325" s="12" t="s">
        <v>25</v>
      </c>
    </row>
    <row customHeight="1" ht="33" r="326">
      <c r="B326" s="12">
        <f>HYPERLINK("https://gesdoc.uis.edu.co/share/page/folder-details?nodeRef=workspace://SpacesStore/57c34c06-6665-4d96-bcc6-21d451694c95","0234_2026010684_7046")</f>
      </c>
      <c r="C326" s="12" t="s">
        <v>281</v>
      </c>
      <c r="D326" s="13" t="s">
        <v>478</v>
      </c>
      <c r="E326" s="12" t="s">
        <v>494</v>
      </c>
      <c r="F326" s="12" t="s">
        <v>501</v>
      </c>
      <c r="G326" s="12" t="s">
        <v>770</v>
      </c>
      <c r="H326" s="12" t="s">
        <v>771</v>
      </c>
      <c r="I326" s="12" t="s">
        <v>25</v>
      </c>
      <c r="J326" s="12" t="s">
        <v>25</v>
      </c>
    </row>
    <row customHeight="1" ht="33" r="327">
      <c r="B327" s="12">
        <f>HYPERLINK("https://gesdoc.uis.edu.co/share/page/folder-details?nodeRef=workspace://SpacesStore/b41df649-cdc1-427b-9597-2bd59db883a7","0234_2026010716_7046")</f>
      </c>
      <c r="C327" s="12" t="s">
        <v>282</v>
      </c>
      <c r="D327" s="13" t="s">
        <v>478</v>
      </c>
      <c r="E327" s="12" t="s">
        <v>494</v>
      </c>
      <c r="F327" s="12" t="s">
        <v>501</v>
      </c>
      <c r="G327" s="12" t="s">
        <v>770</v>
      </c>
      <c r="H327" s="12" t="s">
        <v>771</v>
      </c>
      <c r="I327" s="12" t="s">
        <v>25</v>
      </c>
      <c r="J327" s="12" t="s">
        <v>25</v>
      </c>
    </row>
    <row customHeight="1" ht="33" r="328">
      <c r="B328" s="12">
        <f>HYPERLINK("https://gesdoc.uis.edu.co/share/page/folder-details?nodeRef=workspace://SpacesStore/2cceff95-4c16-43ed-b7fe-78e047715127","0234_2026010729_7046")</f>
      </c>
      <c r="C328" s="12" t="s">
        <v>283</v>
      </c>
      <c r="D328" s="13" t="s">
        <v>478</v>
      </c>
      <c r="E328" s="12" t="s">
        <v>494</v>
      </c>
      <c r="F328" s="12" t="s">
        <v>501</v>
      </c>
      <c r="G328" s="12" t="s">
        <v>770</v>
      </c>
      <c r="H328" s="12" t="s">
        <v>771</v>
      </c>
      <c r="I328" s="12" t="s">
        <v>25</v>
      </c>
      <c r="J328" s="12" t="s">
        <v>25</v>
      </c>
    </row>
    <row customHeight="1" ht="33" r="329">
      <c r="B329" s="12">
        <f>HYPERLINK("https://gesdoc.uis.edu.co/share/page/folder-details?nodeRef=workspace://SpacesStore/be8c446b-a26d-492b-ae4a-7924a635d014","0234_2026010677_7046")</f>
      </c>
      <c r="C329" s="12" t="s">
        <v>284</v>
      </c>
      <c r="D329" s="13" t="s">
        <v>478</v>
      </c>
      <c r="E329" s="12" t="s">
        <v>494</v>
      </c>
      <c r="F329" s="12" t="s">
        <v>501</v>
      </c>
      <c r="G329" s="12" t="s">
        <v>770</v>
      </c>
      <c r="H329" s="12" t="s">
        <v>771</v>
      </c>
      <c r="I329" s="12" t="s">
        <v>25</v>
      </c>
      <c r="J329" s="12" t="s">
        <v>25</v>
      </c>
    </row>
    <row customHeight="1" ht="33" r="330">
      <c r="B330" s="12">
        <f>HYPERLINK("https://gesdoc.uis.edu.co/share/page/folder-details?nodeRef=workspace://SpacesStore/f3274a2b-6901-42a8-be10-b3cc5c83101e","0234_2026010918_7046")</f>
      </c>
      <c r="C330" s="12" t="s">
        <v>285</v>
      </c>
      <c r="D330" s="13" t="s">
        <v>478</v>
      </c>
      <c r="E330" s="12" t="s">
        <v>494</v>
      </c>
      <c r="F330" s="12" t="s">
        <v>501</v>
      </c>
      <c r="G330" s="12" t="s">
        <v>770</v>
      </c>
      <c r="H330" s="12" t="s">
        <v>771</v>
      </c>
      <c r="I330" s="12" t="s">
        <v>25</v>
      </c>
      <c r="J330" s="12" t="s">
        <v>25</v>
      </c>
    </row>
    <row customHeight="1" ht="33" r="331">
      <c r="B331" s="12">
        <f>HYPERLINK("https://gesdoc.uis.edu.co/share/page/folder-details?nodeRef=workspace://SpacesStore/61a70e8b-da05-4634-9fbb-d3f9440eadb3","0020_2026000304_7063")</f>
      </c>
      <c r="C331" s="12" t="s">
        <v>286</v>
      </c>
      <c r="D331" s="13" t="s">
        <v>476</v>
      </c>
      <c r="E331" s="12" t="s">
        <v>494</v>
      </c>
      <c r="F331" s="12" t="s">
        <v>495</v>
      </c>
      <c r="G331" s="12" t="s">
        <v>772</v>
      </c>
      <c r="H331" s="12" t="s">
        <v>1143</v>
      </c>
      <c r="I331" s="12" t="s">
        <v>25</v>
      </c>
      <c r="J331" s="12" t="s">
        <v>25</v>
      </c>
    </row>
    <row customHeight="1" ht="33" r="332">
      <c r="B332" s="12">
        <f>HYPERLINK("https://gesdoc.uis.edu.co/share/page/folder-details?nodeRef=workspace://SpacesStore/095a8194-bdd3-42c2-8349-a05641c6b25a","0020_2026000290_7063")</f>
      </c>
      <c r="C332" s="12" t="s">
        <v>287</v>
      </c>
      <c r="D332" s="13" t="s">
        <v>476</v>
      </c>
      <c r="E332" s="12" t="s">
        <v>494</v>
      </c>
      <c r="F332" s="12" t="s">
        <v>495</v>
      </c>
      <c r="G332" s="12" t="s">
        <v>773</v>
      </c>
      <c r="H332" s="12" t="s">
        <v>1144</v>
      </c>
      <c r="I332" s="12" t="s">
        <v>25</v>
      </c>
      <c r="J332" s="12" t="s">
        <v>25</v>
      </c>
    </row>
    <row customHeight="1" ht="33" r="333">
      <c r="B333" s="12">
        <f>HYPERLINK("https://gesdoc.uis.edu.co/share/page/folder-details?nodeRef=workspace://SpacesStore/be0b8a91-e1f9-45a1-ab46-208a4b4eebe3","2025000531_9701")</f>
      </c>
      <c r="C333" s="12" t="s">
        <v>25</v>
      </c>
      <c r="D333" s="13" t="s">
        <v>454</v>
      </c>
      <c r="E333" s="12" t="s">
        <v>494</v>
      </c>
      <c r="F333" s="12" t="s">
        <v>504</v>
      </c>
      <c r="G333" s="12" t="s">
        <v>774</v>
      </c>
      <c r="H333" s="12" t="s">
        <v>775</v>
      </c>
      <c r="I333" s="12" t="s">
        <v>25</v>
      </c>
      <c r="J333" s="12" t="s">
        <v>25</v>
      </c>
    </row>
    <row customHeight="1" ht="33" r="334">
      <c r="B334" s="12">
        <f>HYPERLINK("https://gesdoc.uis.edu.co/share/page/folder-details?nodeRef=workspace://SpacesStore/270ed561-fc95-47b1-aaef-ffec2847ac11","2025000532_9701")</f>
      </c>
      <c r="C334" s="12" t="s">
        <v>25</v>
      </c>
      <c r="D334" s="13" t="s">
        <v>454</v>
      </c>
      <c r="E334" s="12" t="s">
        <v>494</v>
      </c>
      <c r="F334" s="12" t="s">
        <v>504</v>
      </c>
      <c r="G334" s="12" t="s">
        <v>775</v>
      </c>
      <c r="H334" s="12" t="s">
        <v>775</v>
      </c>
      <c r="I334" s="12" t="s">
        <v>25</v>
      </c>
      <c r="J334" s="12" t="s">
        <v>25</v>
      </c>
    </row>
    <row customHeight="1" ht="33" r="335">
      <c r="B335" s="12">
        <f>HYPERLINK("https://gesdoc.uis.edu.co/share/page/folder-details?nodeRef=workspace://SpacesStore/c8b5119e-e267-403d-a687-f9da30f83a98","2025000213_9701")</f>
      </c>
      <c r="C335" s="12" t="s">
        <v>25</v>
      </c>
      <c r="D335" s="13" t="s">
        <v>454</v>
      </c>
      <c r="E335" s="12" t="s">
        <v>494</v>
      </c>
      <c r="F335" s="12" t="s">
        <v>504</v>
      </c>
      <c r="G335" s="12" t="s">
        <v>776</v>
      </c>
      <c r="H335" s="12" t="s">
        <v>776</v>
      </c>
      <c r="I335" s="12" t="s">
        <v>25</v>
      </c>
      <c r="J335" s="12" t="s">
        <v>25</v>
      </c>
    </row>
    <row customHeight="1" ht="33" r="336">
      <c r="B336" s="12">
        <f>HYPERLINK("https://gesdoc.uis.edu.co/share/page/folder-details?nodeRef=workspace://SpacesStore/5b7d0e14-2603-496f-8ded-c02ef879f9b0","2025000154_9707")</f>
      </c>
      <c r="C336" s="12" t="s">
        <v>25</v>
      </c>
      <c r="D336" s="13" t="s">
        <v>454</v>
      </c>
      <c r="E336" s="12" t="s">
        <v>494</v>
      </c>
      <c r="F336" s="12" t="s">
        <v>504</v>
      </c>
      <c r="G336" s="12" t="s">
        <v>777</v>
      </c>
      <c r="H336" s="12" t="s">
        <v>777</v>
      </c>
      <c r="I336" s="12" t="s">
        <v>25</v>
      </c>
      <c r="J336" s="12" t="s">
        <v>25</v>
      </c>
    </row>
    <row customHeight="1" ht="33" r="337">
      <c r="B337" s="12">
        <f>HYPERLINK("https://gesdoc.uis.edu.co/share/page/folder-details?nodeRef=workspace://SpacesStore/9c986c95-6cbc-4aea-b645-c4cd384a18ae","0298_2026000259_3160")</f>
      </c>
      <c r="C337" s="12" t="s">
        <v>288</v>
      </c>
      <c r="D337" s="13" t="s">
        <v>440</v>
      </c>
      <c r="E337" s="12" t="s">
        <v>494</v>
      </c>
      <c r="F337" s="12" t="s">
        <v>503</v>
      </c>
      <c r="G337" s="12" t="s">
        <v>778</v>
      </c>
      <c r="H337" s="12" t="s">
        <v>756</v>
      </c>
      <c r="I337" s="12" t="s">
        <v>25</v>
      </c>
      <c r="J337" s="12" t="s">
        <v>25</v>
      </c>
    </row>
    <row customHeight="1" ht="33" r="338">
      <c r="B338" s="12">
        <f>HYPERLINK("https://gesdoc.uis.edu.co/share/page/folder-details?nodeRef=workspace://SpacesStore/c642ea5f-041a-4dba-b5b5-c196cdf3e2bc","2025002269_9701")</f>
      </c>
      <c r="C338" s="12" t="s">
        <v>25</v>
      </c>
      <c r="D338" s="13" t="s">
        <v>454</v>
      </c>
      <c r="E338" s="12" t="s">
        <v>494</v>
      </c>
      <c r="F338" s="12" t="s">
        <v>500</v>
      </c>
      <c r="G338" s="12" t="s">
        <v>756</v>
      </c>
      <c r="H338" s="12" t="s">
        <v>756</v>
      </c>
      <c r="I338" s="12" t="s">
        <v>25</v>
      </c>
      <c r="J338" s="12" t="s">
        <v>25</v>
      </c>
    </row>
    <row customHeight="1" ht="33" r="339">
      <c r="B339" s="12">
        <f>HYPERLINK("https://gesdoc.uis.edu.co/share/page/folder-details?nodeRef=workspace://SpacesStore/96bf6593-08d7-44f1-8194-36d4805289d2","2025004240_9701")</f>
      </c>
      <c r="C339" s="12" t="s">
        <v>25</v>
      </c>
      <c r="D339" s="13" t="s">
        <v>454</v>
      </c>
      <c r="E339" s="12" t="s">
        <v>494</v>
      </c>
      <c r="F339" s="12" t="s">
        <v>500</v>
      </c>
      <c r="G339" s="12" t="s">
        <v>756</v>
      </c>
      <c r="H339" s="12" t="s">
        <v>1145</v>
      </c>
      <c r="I339" s="12" t="s">
        <v>25</v>
      </c>
      <c r="J339" s="12" t="s">
        <v>25</v>
      </c>
    </row>
    <row customHeight="1" ht="33" r="340">
      <c r="B340" s="12">
        <f>HYPERLINK("https://gesdoc.uis.edu.co/share/page/folder-details?nodeRef=workspace://SpacesStore/7ce00c6b-b824-4fc5-be4e-8469ddd9e51e","2025000568_9701")</f>
      </c>
      <c r="C340" s="12" t="s">
        <v>25</v>
      </c>
      <c r="D340" s="13" t="s">
        <v>454</v>
      </c>
      <c r="E340" s="12" t="s">
        <v>494</v>
      </c>
      <c r="F340" s="12" t="s">
        <v>504</v>
      </c>
      <c r="G340" s="12" t="s">
        <v>779</v>
      </c>
      <c r="H340" s="12" t="s">
        <v>779</v>
      </c>
      <c r="I340" s="12" t="s">
        <v>25</v>
      </c>
      <c r="J340" s="12" t="s">
        <v>25</v>
      </c>
    </row>
    <row customHeight="1" ht="33" r="341">
      <c r="B341" s="12">
        <f>HYPERLINK("https://gesdoc.uis.edu.co/share/page/folder-details?nodeRef=workspace://SpacesStore/9766ed5c-a93f-41c8-809d-c81335645b0e","2025000571_9701")</f>
      </c>
      <c r="C341" s="12" t="s">
        <v>25</v>
      </c>
      <c r="D341" s="13" t="s">
        <v>454</v>
      </c>
      <c r="E341" s="12" t="s">
        <v>494</v>
      </c>
      <c r="F341" s="12" t="s">
        <v>504</v>
      </c>
      <c r="G341" s="12" t="s">
        <v>779</v>
      </c>
      <c r="H341" s="12" t="s">
        <v>777</v>
      </c>
      <c r="I341" s="12" t="s">
        <v>25</v>
      </c>
      <c r="J341" s="12" t="s">
        <v>25</v>
      </c>
    </row>
    <row customHeight="1" ht="33" r="342">
      <c r="B342" s="12">
        <f>HYPERLINK("https://gesdoc.uis.edu.co/share/page/folder-details?nodeRef=workspace://SpacesStore/d4d91fc5-095e-468b-856d-1100c5f0b8b4","2025000573_9701")</f>
      </c>
      <c r="C342" s="12" t="s">
        <v>25</v>
      </c>
      <c r="D342" s="13" t="s">
        <v>454</v>
      </c>
      <c r="E342" s="12" t="s">
        <v>494</v>
      </c>
      <c r="F342" s="12" t="s">
        <v>504</v>
      </c>
      <c r="G342" s="12" t="s">
        <v>777</v>
      </c>
      <c r="H342" s="12" t="s">
        <v>777</v>
      </c>
      <c r="I342" s="12" t="s">
        <v>25</v>
      </c>
      <c r="J342" s="12" t="s">
        <v>25</v>
      </c>
    </row>
    <row customHeight="1" ht="33" r="343">
      <c r="B343" s="12">
        <f>HYPERLINK("https://gesdoc.uis.edu.co/share/page/folder-details?nodeRef=workspace://SpacesStore/ecf3d31b-24d8-41b3-bd68-f5d332102288","2025000562_9701")</f>
      </c>
      <c r="C343" s="12" t="s">
        <v>25</v>
      </c>
      <c r="D343" s="13" t="s">
        <v>454</v>
      </c>
      <c r="E343" s="12" t="s">
        <v>494</v>
      </c>
      <c r="F343" s="12" t="s">
        <v>504</v>
      </c>
      <c r="G343" s="12" t="s">
        <v>780</v>
      </c>
      <c r="H343" s="12" t="s">
        <v>780</v>
      </c>
      <c r="I343" s="12" t="s">
        <v>25</v>
      </c>
      <c r="J343" s="12" t="s">
        <v>25</v>
      </c>
    </row>
    <row customHeight="1" ht="33" r="344">
      <c r="B344" s="12">
        <f>HYPERLINK("https://gesdoc.uis.edu.co/share/page/folder-details?nodeRef=workspace://SpacesStore/d7cb12c3-773d-45f5-aca3-62549b712757","2025000557_9701")</f>
      </c>
      <c r="C344" s="12" t="s">
        <v>25</v>
      </c>
      <c r="D344" s="13" t="s">
        <v>454</v>
      </c>
      <c r="E344" s="12" t="s">
        <v>494</v>
      </c>
      <c r="F344" s="12" t="s">
        <v>504</v>
      </c>
      <c r="G344" s="12" t="s">
        <v>781</v>
      </c>
      <c r="H344" s="12" t="s">
        <v>781</v>
      </c>
      <c r="I344" s="12" t="s">
        <v>25</v>
      </c>
      <c r="J344" s="12" t="s">
        <v>25</v>
      </c>
    </row>
    <row customHeight="1" ht="33" r="345">
      <c r="B345" s="12">
        <f>HYPERLINK("https://gesdoc.uis.edu.co/share/page/folder-details?nodeRef=workspace://SpacesStore/379bff79-74cb-4acf-bb43-bc3a33e52671","2025000560_9701")</f>
      </c>
      <c r="C345" s="12" t="s">
        <v>25</v>
      </c>
      <c r="D345" s="13" t="s">
        <v>454</v>
      </c>
      <c r="E345" s="12" t="s">
        <v>494</v>
      </c>
      <c r="F345" s="12" t="s">
        <v>504</v>
      </c>
      <c r="G345" s="12" t="s">
        <v>781</v>
      </c>
      <c r="H345" s="12" t="s">
        <v>780</v>
      </c>
      <c r="I345" s="12" t="s">
        <v>25</v>
      </c>
      <c r="J345" s="12" t="s">
        <v>25</v>
      </c>
    </row>
    <row customHeight="1" ht="33" r="346">
      <c r="B346" s="12">
        <f>HYPERLINK("https://gesdoc.uis.edu.co/share/page/folder-details?nodeRef=workspace://SpacesStore/a8d0a449-2877-4a0d-86a1-8778e0ed601e","2025000528_9702")</f>
      </c>
      <c r="C346" s="12" t="s">
        <v>25</v>
      </c>
      <c r="D346" s="13" t="s">
        <v>454</v>
      </c>
      <c r="E346" s="12" t="s">
        <v>494</v>
      </c>
      <c r="F346" s="12" t="s">
        <v>504</v>
      </c>
      <c r="G346" s="12" t="s">
        <v>782</v>
      </c>
      <c r="H346" s="12" t="s">
        <v>774</v>
      </c>
      <c r="I346" s="12" t="s">
        <v>25</v>
      </c>
      <c r="J346" s="12" t="s">
        <v>25</v>
      </c>
    </row>
    <row customHeight="1" ht="33" r="347">
      <c r="B347" s="12">
        <f>HYPERLINK("https://gesdoc.uis.edu.co/share/page/folder-details?nodeRef=workspace://SpacesStore/15c1860e-32d3-473e-bea0-7ca64733b64c","2025000537_9701")</f>
      </c>
      <c r="C347" s="12" t="s">
        <v>25</v>
      </c>
      <c r="D347" s="13" t="s">
        <v>454</v>
      </c>
      <c r="E347" s="12" t="s">
        <v>494</v>
      </c>
      <c r="F347" s="12" t="s">
        <v>504</v>
      </c>
      <c r="G347" s="12" t="s">
        <v>775</v>
      </c>
      <c r="H347" s="12" t="s">
        <v>775</v>
      </c>
      <c r="I347" s="12" t="s">
        <v>25</v>
      </c>
      <c r="J347" s="12" t="s">
        <v>25</v>
      </c>
    </row>
    <row customHeight="1" ht="33" r="348">
      <c r="B348" s="12">
        <f>HYPERLINK("https://gesdoc.uis.edu.co/share/page/folder-details?nodeRef=workspace://SpacesStore/39cd2614-7ad6-4ba1-adc9-8610671d6dce","2025000569_9701")</f>
      </c>
      <c r="C348" s="12" t="s">
        <v>25</v>
      </c>
      <c r="D348" s="13" t="s">
        <v>454</v>
      </c>
      <c r="E348" s="12" t="s">
        <v>494</v>
      </c>
      <c r="F348" s="12" t="s">
        <v>504</v>
      </c>
      <c r="G348" s="12" t="s">
        <v>779</v>
      </c>
      <c r="H348" s="12" t="s">
        <v>779</v>
      </c>
      <c r="I348" s="12" t="s">
        <v>25</v>
      </c>
      <c r="J348" s="12" t="s">
        <v>25</v>
      </c>
    </row>
    <row customHeight="1" ht="33" r="349">
      <c r="B349" s="12">
        <f>HYPERLINK("https://gesdoc.uis.edu.co/share/page/folder-details?nodeRef=workspace://SpacesStore/2ea00410-8a7d-40fa-b1e3-004c8b4ffcae","2025000009_9701")</f>
      </c>
      <c r="C349" s="12" t="s">
        <v>25</v>
      </c>
      <c r="D349" s="13" t="s">
        <v>454</v>
      </c>
      <c r="E349" s="12" t="s">
        <v>494</v>
      </c>
      <c r="F349" s="12" t="s">
        <v>500</v>
      </c>
      <c r="G349" s="12" t="s">
        <v>783</v>
      </c>
      <c r="H349" s="12" t="s">
        <v>783</v>
      </c>
      <c r="I349" s="12" t="s">
        <v>25</v>
      </c>
      <c r="J349" s="12" t="s">
        <v>25</v>
      </c>
    </row>
    <row customHeight="1" ht="33" r="350">
      <c r="B350" s="12">
        <f>HYPERLINK("https://gesdoc.uis.edu.co/share/page/folder-details?nodeRef=workspace://SpacesStore/737733dc-3bed-48db-ae34-d25b0a074daa","2025001471_9701")</f>
      </c>
      <c r="C350" s="12" t="s">
        <v>25</v>
      </c>
      <c r="D350" s="13" t="s">
        <v>454</v>
      </c>
      <c r="E350" s="12" t="s">
        <v>494</v>
      </c>
      <c r="F350" s="12" t="s">
        <v>500</v>
      </c>
      <c r="G350" s="12" t="s">
        <v>783</v>
      </c>
      <c r="H350" s="12" t="s">
        <v>1146</v>
      </c>
      <c r="I350" s="12" t="s">
        <v>25</v>
      </c>
      <c r="J350" s="12" t="s">
        <v>25</v>
      </c>
    </row>
    <row customHeight="1" ht="33" r="351">
      <c r="B351" s="12">
        <f>HYPERLINK("https://gesdoc.uis.edu.co/share/page/folder-details?nodeRef=workspace://SpacesStore/114145cd-ea18-4652-9e8b-958221a2a2a4","2025000539_9701")</f>
      </c>
      <c r="C351" s="12" t="s">
        <v>25</v>
      </c>
      <c r="D351" s="13" t="s">
        <v>454</v>
      </c>
      <c r="E351" s="12" t="s">
        <v>494</v>
      </c>
      <c r="F351" s="12" t="s">
        <v>504</v>
      </c>
      <c r="G351" s="12" t="s">
        <v>784</v>
      </c>
      <c r="H351" s="12" t="s">
        <v>784</v>
      </c>
      <c r="I351" s="12" t="s">
        <v>25</v>
      </c>
      <c r="J351" s="12" t="s">
        <v>25</v>
      </c>
    </row>
    <row customHeight="1" ht="33" r="352">
      <c r="B352" s="12">
        <f>HYPERLINK("https://gesdoc.uis.edu.co/share/page/folder-details?nodeRef=workspace://SpacesStore/76165a6a-24a9-48c1-be4f-7d6ca24b0f0b","2025000541_9701_9703")</f>
      </c>
      <c r="C352" s="12" t="s">
        <v>25</v>
      </c>
      <c r="D352" s="13" t="s">
        <v>454</v>
      </c>
      <c r="E352" s="12" t="s">
        <v>494</v>
      </c>
      <c r="F352" s="12" t="s">
        <v>504</v>
      </c>
      <c r="G352" s="12" t="s">
        <v>755</v>
      </c>
      <c r="H352" s="12" t="s">
        <v>755</v>
      </c>
      <c r="I352" s="12" t="s">
        <v>25</v>
      </c>
      <c r="J352" s="12" t="s">
        <v>25</v>
      </c>
    </row>
    <row customHeight="1" ht="33" r="353">
      <c r="B353" s="12">
        <f>HYPERLINK("https://gesdoc.uis.edu.co/share/page/folder-details?nodeRef=workspace://SpacesStore/8a205091-6dfa-48ef-bd4a-b987e2351b94","2025000540_9701_9703")</f>
      </c>
      <c r="C353" s="12" t="s">
        <v>25</v>
      </c>
      <c r="D353" s="13" t="s">
        <v>454</v>
      </c>
      <c r="E353" s="12" t="s">
        <v>494</v>
      </c>
      <c r="F353" s="12" t="s">
        <v>504</v>
      </c>
      <c r="G353" s="12" t="s">
        <v>784</v>
      </c>
      <c r="H353" s="12" t="s">
        <v>755</v>
      </c>
      <c r="I353" s="12" t="s">
        <v>25</v>
      </c>
      <c r="J353" s="12" t="s">
        <v>25</v>
      </c>
    </row>
    <row customHeight="1" ht="33" r="354">
      <c r="B354" s="12">
        <f>HYPERLINK("https://gesdoc.uis.edu.co/share/page/folder-details?nodeRef=workspace://SpacesStore/1d09aedb-22af-4ad7-9d48-04316abbe364","2025000547_9701")</f>
      </c>
      <c r="C354" s="12" t="s">
        <v>25</v>
      </c>
      <c r="D354" s="13" t="s">
        <v>454</v>
      </c>
      <c r="E354" s="12" t="s">
        <v>494</v>
      </c>
      <c r="F354" s="12" t="s">
        <v>504</v>
      </c>
      <c r="G354" s="12" t="s">
        <v>785</v>
      </c>
      <c r="H354" s="12" t="s">
        <v>785</v>
      </c>
      <c r="I354" s="12" t="s">
        <v>25</v>
      </c>
      <c r="J354" s="12" t="s">
        <v>25</v>
      </c>
    </row>
    <row customHeight="1" ht="33" r="355">
      <c r="B355" s="12">
        <f>HYPERLINK("https://gesdoc.uis.edu.co/share/page/folder-details?nodeRef=workspace://SpacesStore/898f3dcc-c4f6-4585-b829-7a66256c29e6","2025000555_9701")</f>
      </c>
      <c r="C355" s="12" t="s">
        <v>25</v>
      </c>
      <c r="D355" s="13" t="s">
        <v>454</v>
      </c>
      <c r="E355" s="12" t="s">
        <v>494</v>
      </c>
      <c r="F355" s="12" t="s">
        <v>504</v>
      </c>
      <c r="G355" s="12" t="s">
        <v>785</v>
      </c>
      <c r="H355" s="12" t="s">
        <v>785</v>
      </c>
      <c r="I355" s="12" t="s">
        <v>25</v>
      </c>
      <c r="J355" s="12" t="s">
        <v>25</v>
      </c>
    </row>
    <row customHeight="1" ht="33" r="356">
      <c r="B356" s="12">
        <f>HYPERLINK("https://gesdoc.uis.edu.co/share/page/folder-details?nodeRef=workspace://SpacesStore/4e85b39f-35c1-4b8d-88de-6e6d36ed414e","2025000538_9701_9703")</f>
      </c>
      <c r="C356" s="12" t="s">
        <v>25</v>
      </c>
      <c r="D356" s="13" t="s">
        <v>454</v>
      </c>
      <c r="E356" s="12" t="s">
        <v>494</v>
      </c>
      <c r="F356" s="12" t="s">
        <v>504</v>
      </c>
      <c r="G356" s="12" t="s">
        <v>784</v>
      </c>
      <c r="H356" s="12" t="s">
        <v>784</v>
      </c>
      <c r="I356" s="12" t="s">
        <v>25</v>
      </c>
      <c r="J356" s="12" t="s">
        <v>25</v>
      </c>
    </row>
    <row customHeight="1" ht="33" r="357">
      <c r="B357" s="12">
        <f>HYPERLINK("https://gesdoc.uis.edu.co/share/page/folder-details?nodeRef=workspace://SpacesStore/dde09972-c0ac-41c5-b683-d4df7457c446","2025000552_9702")</f>
      </c>
      <c r="C357" s="12" t="s">
        <v>25</v>
      </c>
      <c r="D357" s="13" t="s">
        <v>454</v>
      </c>
      <c r="E357" s="12" t="s">
        <v>494</v>
      </c>
      <c r="F357" s="12" t="s">
        <v>504</v>
      </c>
      <c r="G357" s="12" t="s">
        <v>785</v>
      </c>
      <c r="H357" s="12" t="s">
        <v>785</v>
      </c>
      <c r="I357" s="12" t="s">
        <v>25</v>
      </c>
      <c r="J357" s="12" t="s">
        <v>25</v>
      </c>
    </row>
    <row customHeight="1" ht="33" r="358">
      <c r="B358" s="12">
        <f>HYPERLINK("https://gesdoc.uis.edu.co/share/page/folder-details?nodeRef=workspace://SpacesStore/abfb67dc-6772-43c7-a64a-733c082a06e7","2025000549_9701")</f>
      </c>
      <c r="C358" s="12" t="s">
        <v>25</v>
      </c>
      <c r="D358" s="13" t="s">
        <v>454</v>
      </c>
      <c r="E358" s="12" t="s">
        <v>494</v>
      </c>
      <c r="F358" s="12" t="s">
        <v>504</v>
      </c>
      <c r="G358" s="12" t="s">
        <v>785</v>
      </c>
      <c r="H358" s="12" t="s">
        <v>785</v>
      </c>
      <c r="I358" s="12" t="s">
        <v>25</v>
      </c>
      <c r="J358" s="12" t="s">
        <v>25</v>
      </c>
    </row>
    <row customHeight="1" ht="33" r="359">
      <c r="B359" s="12">
        <f>HYPERLINK("https://gesdoc.uis.edu.co/share/page/folder-details?nodeRef=workspace://SpacesStore/63f63fc8-9085-4295-a2c4-9a3f832695e5","0019_2026000109_3160")</f>
      </c>
      <c r="C359" s="12" t="s">
        <v>289</v>
      </c>
      <c r="D359" s="13" t="s">
        <v>440</v>
      </c>
      <c r="E359" s="12" t="s">
        <v>494</v>
      </c>
      <c r="F359" s="12" t="s">
        <v>498</v>
      </c>
      <c r="G359" s="12" t="s">
        <v>786</v>
      </c>
      <c r="H359" s="12" t="s">
        <v>1147</v>
      </c>
      <c r="I359" s="12" t="s">
        <v>25</v>
      </c>
      <c r="J359" s="12" t="s">
        <v>25</v>
      </c>
    </row>
    <row customHeight="1" ht="33" r="360">
      <c r="B360" s="12">
        <f>HYPERLINK("https://gesdoc.uis.edu.co/share/page/folder-details?nodeRef=workspace://SpacesStore/bac0d39a-86d7-4bdf-8798-041005f406a7","2026011468_2250")</f>
      </c>
      <c r="C360" s="12" t="s">
        <v>25</v>
      </c>
      <c r="D360" s="13" t="s">
        <v>464</v>
      </c>
      <c r="E360" s="12" t="s">
        <v>494</v>
      </c>
      <c r="F360" s="12" t="s">
        <v>501</v>
      </c>
      <c r="G360" s="12" t="s">
        <v>787</v>
      </c>
      <c r="H360" s="12" t="s">
        <v>1148</v>
      </c>
      <c r="I360" s="12" t="s">
        <v>25</v>
      </c>
      <c r="J360" s="12" t="s">
        <v>25</v>
      </c>
    </row>
    <row customHeight="1" ht="33" r="361">
      <c r="B361" s="12">
        <f>HYPERLINK("https://gesdoc.uis.edu.co/share/page/folder-details?nodeRef=workspace://SpacesStore/7697e800-039f-4a7b-bd24-9385ba5bc3c2","0270_2026000732_3160_EV017")</f>
      </c>
      <c r="C361" s="12" t="s">
        <v>290</v>
      </c>
      <c r="D361" s="13" t="s">
        <v>440</v>
      </c>
      <c r="E361" s="12" t="s">
        <v>494</v>
      </c>
      <c r="F361" s="12" t="s">
        <v>499</v>
      </c>
      <c r="G361" s="12" t="s">
        <v>788</v>
      </c>
      <c r="H361" s="12" t="s">
        <v>1149</v>
      </c>
      <c r="I361" s="12" t="s">
        <v>1258</v>
      </c>
      <c r="J361" s="12" t="s">
        <v>1265</v>
      </c>
    </row>
    <row customHeight="1" ht="33" r="362">
      <c r="B362" s="12">
        <f>HYPERLINK("https://gesdoc.uis.edu.co/share/page/folder-details?nodeRef=workspace://SpacesStore/6a64a2d6-24df-40a4-bde7-f25478d42626","0019_2026000095_7085")</f>
      </c>
      <c r="C362" s="12" t="s">
        <v>291</v>
      </c>
      <c r="D362" s="13" t="s">
        <v>440</v>
      </c>
      <c r="E362" s="12" t="s">
        <v>494</v>
      </c>
      <c r="F362" s="12" t="s">
        <v>498</v>
      </c>
      <c r="G362" s="12" t="s">
        <v>789</v>
      </c>
      <c r="H362" s="12" t="s">
        <v>1150</v>
      </c>
      <c r="I362" s="12" t="s">
        <v>25</v>
      </c>
      <c r="J362" s="12" t="s">
        <v>25</v>
      </c>
    </row>
    <row customHeight="1" ht="33" r="363">
      <c r="B363" s="12">
        <f>HYPERLINK("https://gesdoc.uis.edu.co/share/page/folder-details?nodeRef=workspace://SpacesStore/636cc62e-59e4-4002-89b9-6fa982a0f9e7","0020_2026000329_7018")</f>
      </c>
      <c r="C363" s="12" t="s">
        <v>292</v>
      </c>
      <c r="D363" s="13" t="s">
        <v>460</v>
      </c>
      <c r="E363" s="12" t="s">
        <v>494</v>
      </c>
      <c r="F363" s="12" t="s">
        <v>495</v>
      </c>
      <c r="G363" s="12" t="s">
        <v>790</v>
      </c>
      <c r="H363" s="12" t="s">
        <v>790</v>
      </c>
      <c r="I363" s="12" t="s">
        <v>25</v>
      </c>
      <c r="J363" s="12" t="s">
        <v>25</v>
      </c>
    </row>
    <row customHeight="1" ht="33" r="364">
      <c r="B364" s="12">
        <f>HYPERLINK("https://gesdoc.uis.edu.co/share/page/folder-details?nodeRef=workspace://SpacesStore/cc7b2c5b-cb5d-4cdb-b78d-d1ef8651de1b","0019_2026000087_3160")</f>
      </c>
      <c r="C364" s="12" t="s">
        <v>293</v>
      </c>
      <c r="D364" s="13" t="s">
        <v>440</v>
      </c>
      <c r="E364" s="12" t="s">
        <v>494</v>
      </c>
      <c r="F364" s="12" t="s">
        <v>498</v>
      </c>
      <c r="G364" s="12" t="s">
        <v>791</v>
      </c>
      <c r="H364" s="12" t="s">
        <v>1151</v>
      </c>
      <c r="I364" s="12" t="s">
        <v>25</v>
      </c>
      <c r="J364" s="12" t="s">
        <v>25</v>
      </c>
    </row>
    <row customHeight="1" ht="33" r="365">
      <c r="B365" s="12">
        <f>HYPERLINK("https://gesdoc.uis.edu.co/share/page/folder-details?nodeRef=workspace://SpacesStore/c0222f96-a7f1-48e4-aeea-2e8028839886","2025000049_9701")</f>
      </c>
      <c r="C365" s="12" t="s">
        <v>25</v>
      </c>
      <c r="D365" s="13" t="s">
        <v>454</v>
      </c>
      <c r="E365" s="12" t="s">
        <v>494</v>
      </c>
      <c r="F365" s="12" t="s">
        <v>504</v>
      </c>
      <c r="G365" s="12" t="s">
        <v>792</v>
      </c>
      <c r="H365" s="12" t="s">
        <v>792</v>
      </c>
      <c r="I365" s="12" t="s">
        <v>25</v>
      </c>
      <c r="J365" s="12" t="s">
        <v>25</v>
      </c>
    </row>
    <row customHeight="1" ht="33" r="366">
      <c r="B366" s="12">
        <f>HYPERLINK("https://gesdoc.uis.edu.co/share/page/folder-details?nodeRef=workspace://SpacesStore/945461a3-7573-437d-8a25-925d4cd16be7","0019_2026000097_1464")</f>
      </c>
      <c r="C366" s="12" t="s">
        <v>294</v>
      </c>
      <c r="D366" s="13" t="s">
        <v>440</v>
      </c>
      <c r="E366" s="12" t="s">
        <v>494</v>
      </c>
      <c r="F366" s="12" t="s">
        <v>498</v>
      </c>
      <c r="G366" s="12" t="s">
        <v>793</v>
      </c>
      <c r="H366" s="12" t="s">
        <v>1152</v>
      </c>
      <c r="I366" s="12" t="s">
        <v>25</v>
      </c>
      <c r="J366" s="12" t="s">
        <v>25</v>
      </c>
    </row>
    <row customHeight="1" ht="33" r="367">
      <c r="B367" s="12">
        <f>HYPERLINK("https://gesdoc.uis.edu.co/share/page/folder-details?nodeRef=workspace://SpacesStore/4e223305-7c32-42ab-8bdc-53a99baa7345","0018_2026002475_7016")</f>
      </c>
      <c r="C367" s="12" t="s">
        <v>295</v>
      </c>
      <c r="D367" s="13" t="s">
        <v>456</v>
      </c>
      <c r="E367" s="12" t="s">
        <v>494</v>
      </c>
      <c r="F367" s="12" t="s">
        <v>500</v>
      </c>
      <c r="G367" s="12" t="s">
        <v>794</v>
      </c>
      <c r="H367" s="12" t="s">
        <v>1153</v>
      </c>
      <c r="I367" s="12" t="s">
        <v>25</v>
      </c>
      <c r="J367" s="12" t="s">
        <v>25</v>
      </c>
    </row>
    <row customHeight="1" ht="33" r="368">
      <c r="B368" s="12">
        <f>HYPERLINK("https://gesdoc.uis.edu.co/share/page/folder-details?nodeRef=workspace://SpacesStore/e4af058b-bbae-4640-b4c4-5f9e00dbb091","0020_2026000320_3140")</f>
      </c>
      <c r="C368" s="12" t="s">
        <v>296</v>
      </c>
      <c r="D368" s="13" t="s">
        <v>445</v>
      </c>
      <c r="E368" s="12" t="s">
        <v>494</v>
      </c>
      <c r="F368" s="12" t="s">
        <v>495</v>
      </c>
      <c r="G368" s="12" t="s">
        <v>795</v>
      </c>
      <c r="H368" s="12" t="s">
        <v>1154</v>
      </c>
      <c r="I368" s="12" t="s">
        <v>25</v>
      </c>
      <c r="J368" s="12" t="s">
        <v>25</v>
      </c>
    </row>
    <row customHeight="1" ht="33" r="369">
      <c r="B369" s="12">
        <f>HYPERLINK("https://gesdoc.uis.edu.co/share/page/folder-details?nodeRef=workspace://SpacesStore/dca836bc-a3d3-49e1-83db-965cb4e7b14b","0234_2026011452_2240")</f>
      </c>
      <c r="C369" s="12" t="s">
        <v>297</v>
      </c>
      <c r="D369" s="13" t="s">
        <v>438</v>
      </c>
      <c r="E369" s="12" t="s">
        <v>494</v>
      </c>
      <c r="F369" s="12" t="s">
        <v>501</v>
      </c>
      <c r="G369" s="12" t="s">
        <v>796</v>
      </c>
      <c r="H369" s="12" t="s">
        <v>796</v>
      </c>
      <c r="I369" s="12" t="s">
        <v>25</v>
      </c>
      <c r="J369" s="12" t="s">
        <v>25</v>
      </c>
    </row>
    <row customHeight="1" ht="33" r="370">
      <c r="B370" s="12">
        <f>HYPERLINK("https://gesdoc.uis.edu.co/share/page/folder-details?nodeRef=workspace://SpacesStore/39ed328b-405c-429e-9f82-1dd8f61f0cc2","0020_2026000315_7854")</f>
      </c>
      <c r="C370" s="12" t="s">
        <v>298</v>
      </c>
      <c r="D370" s="13" t="s">
        <v>474</v>
      </c>
      <c r="E370" s="12" t="s">
        <v>494</v>
      </c>
      <c r="F370" s="12" t="s">
        <v>495</v>
      </c>
      <c r="G370" s="12" t="s">
        <v>797</v>
      </c>
      <c r="H370" s="12" t="s">
        <v>1155</v>
      </c>
      <c r="I370" s="12" t="s">
        <v>25</v>
      </c>
      <c r="J370" s="12" t="s">
        <v>25</v>
      </c>
    </row>
    <row customHeight="1" ht="33" r="371">
      <c r="B371" s="12">
        <f>HYPERLINK("https://gesdoc.uis.edu.co/share/page/folder-details?nodeRef=workspace://SpacesStore/4d27f17a-d84a-4e66-ac4a-edcca8d6efb0","0020_2026000289_7062")</f>
      </c>
      <c r="C371" s="12" t="s">
        <v>299</v>
      </c>
      <c r="D371" s="13" t="s">
        <v>445</v>
      </c>
      <c r="E371" s="12" t="s">
        <v>494</v>
      </c>
      <c r="F371" s="12" t="s">
        <v>495</v>
      </c>
      <c r="G371" s="12" t="s">
        <v>798</v>
      </c>
      <c r="H371" s="12" t="s">
        <v>798</v>
      </c>
      <c r="I371" s="12" t="s">
        <v>25</v>
      </c>
      <c r="J371" s="12" t="s">
        <v>25</v>
      </c>
    </row>
    <row customHeight="1" ht="33" r="372">
      <c r="B372" s="12">
        <f>HYPERLINK("https://gesdoc.uis.edu.co/share/page/folder-details?nodeRef=workspace://SpacesStore/adfefe69-7dbb-4468-98ff-d74c81ebe5a1","0019_2026000093_3160")</f>
      </c>
      <c r="C372" s="12" t="s">
        <v>300</v>
      </c>
      <c r="D372" s="13" t="s">
        <v>440</v>
      </c>
      <c r="E372" s="12" t="s">
        <v>494</v>
      </c>
      <c r="F372" s="12" t="s">
        <v>498</v>
      </c>
      <c r="G372" s="12" t="s">
        <v>799</v>
      </c>
      <c r="H372" s="12" t="s">
        <v>795</v>
      </c>
      <c r="I372" s="12" t="s">
        <v>25</v>
      </c>
      <c r="J372" s="12" t="s">
        <v>25</v>
      </c>
    </row>
    <row customHeight="1" ht="33" r="373">
      <c r="B373" s="12">
        <f>HYPERLINK("https://gesdoc.uis.edu.co/share/page/folder-details?nodeRef=workspace://SpacesStore/7b9bac2a-3ce2-41c1-ae25-f4580577c65f","0020_2026000335_7017")</f>
      </c>
      <c r="C373" s="12" t="s">
        <v>301</v>
      </c>
      <c r="D373" s="13" t="s">
        <v>468</v>
      </c>
      <c r="E373" s="12" t="s">
        <v>494</v>
      </c>
      <c r="F373" s="12" t="s">
        <v>495</v>
      </c>
      <c r="G373" s="12" t="s">
        <v>800</v>
      </c>
      <c r="H373" s="12" t="s">
        <v>800</v>
      </c>
      <c r="I373" s="12" t="s">
        <v>25</v>
      </c>
      <c r="J373" s="12" t="s">
        <v>25</v>
      </c>
    </row>
    <row customHeight="1" ht="33" r="374">
      <c r="B374" s="12">
        <f>HYPERLINK("https://gesdoc.uis.edu.co/share/page/folder-details?nodeRef=workspace://SpacesStore/d0aea004-85ca-499d-a5b2-5f38c876866b","0298_2025000406_3160")</f>
      </c>
      <c r="C374" s="12" t="s">
        <v>302</v>
      </c>
      <c r="D374" s="13" t="s">
        <v>440</v>
      </c>
      <c r="E374" s="12" t="s">
        <v>494</v>
      </c>
      <c r="F374" s="12" t="s">
        <v>503</v>
      </c>
      <c r="G374" s="12" t="s">
        <v>801</v>
      </c>
      <c r="H374" s="12" t="s">
        <v>1156</v>
      </c>
      <c r="I374" s="12" t="s">
        <v>25</v>
      </c>
      <c r="J374" s="12" t="s">
        <v>25</v>
      </c>
    </row>
    <row customHeight="1" ht="33" r="375">
      <c r="B375" s="12">
        <f>HYPERLINK("https://gesdoc.uis.edu.co/share/page/folder-details?nodeRef=workspace://SpacesStore/032a38ee-440b-4bcd-840c-28a9d3bed46f","0018_2026002479_7810")</f>
      </c>
      <c r="C375" s="12" t="s">
        <v>303</v>
      </c>
      <c r="D375" s="13" t="s">
        <v>477</v>
      </c>
      <c r="E375" s="12" t="s">
        <v>494</v>
      </c>
      <c r="F375" s="12" t="s">
        <v>500</v>
      </c>
      <c r="G375" s="12" t="s">
        <v>802</v>
      </c>
      <c r="H375" s="12" t="s">
        <v>1157</v>
      </c>
      <c r="I375" s="12" t="s">
        <v>25</v>
      </c>
      <c r="J375" s="12" t="s">
        <v>25</v>
      </c>
    </row>
    <row customHeight="1" ht="33" r="376">
      <c r="B376" s="12">
        <f>HYPERLINK("https://gesdoc.uis.edu.co/share/page/folder-details?nodeRef=workspace://SpacesStore/d63a37f8-924f-4d87-bb74-5c0d77f9ac34","2025000366_9703")</f>
      </c>
      <c r="C376" s="12" t="s">
        <v>25</v>
      </c>
      <c r="D376" s="13" t="s">
        <v>454</v>
      </c>
      <c r="E376" s="12" t="s">
        <v>494</v>
      </c>
      <c r="F376" s="12" t="s">
        <v>504</v>
      </c>
      <c r="G376" s="12" t="s">
        <v>803</v>
      </c>
      <c r="H376" s="12" t="s">
        <v>803</v>
      </c>
      <c r="I376" s="12" t="s">
        <v>25</v>
      </c>
      <c r="J376" s="12" t="s">
        <v>25</v>
      </c>
    </row>
    <row customHeight="1" ht="33" r="377">
      <c r="B377" s="12">
        <f>HYPERLINK("https://gesdoc.uis.edu.co/share/page/folder-details?nodeRef=workspace://SpacesStore/a0c63a79-419b-4487-a673-b553c3d8ee03","2026011211_2250")</f>
      </c>
      <c r="C377" s="12" t="s">
        <v>25</v>
      </c>
      <c r="D377" s="13" t="s">
        <v>464</v>
      </c>
      <c r="E377" s="12" t="s">
        <v>494</v>
      </c>
      <c r="F377" s="12" t="s">
        <v>501</v>
      </c>
      <c r="G377" s="12" t="s">
        <v>728</v>
      </c>
      <c r="H377" s="12" t="s">
        <v>803</v>
      </c>
      <c r="I377" s="12" t="s">
        <v>25</v>
      </c>
      <c r="J377" s="12" t="s">
        <v>25</v>
      </c>
    </row>
    <row customHeight="1" ht="33" r="378">
      <c r="B378" s="12">
        <f>HYPERLINK("https://gesdoc.uis.edu.co/share/page/folder-details?nodeRef=workspace://SpacesStore/3b5dd48a-3c8f-423f-98c7-9a55116deb72","2025000372_9701")</f>
      </c>
      <c r="C378" s="12" t="s">
        <v>25</v>
      </c>
      <c r="D378" s="13" t="s">
        <v>454</v>
      </c>
      <c r="E378" s="12" t="s">
        <v>494</v>
      </c>
      <c r="F378" s="12" t="s">
        <v>504</v>
      </c>
      <c r="G378" s="12" t="s">
        <v>804</v>
      </c>
      <c r="H378" s="12" t="s">
        <v>804</v>
      </c>
      <c r="I378" s="12" t="s">
        <v>25</v>
      </c>
      <c r="J378" s="12" t="s">
        <v>25</v>
      </c>
    </row>
    <row customHeight="1" ht="33" r="379">
      <c r="B379" s="12">
        <f>HYPERLINK("https://gesdoc.uis.edu.co/share/page/folder-details?nodeRef=workspace://SpacesStore/fc73c54d-52a5-4a65-992f-8c6a4a2d722d","2025000387_9701")</f>
      </c>
      <c r="C379" s="12" t="s">
        <v>25</v>
      </c>
      <c r="D379" s="13" t="s">
        <v>454</v>
      </c>
      <c r="E379" s="12" t="s">
        <v>494</v>
      </c>
      <c r="F379" s="12" t="s">
        <v>504</v>
      </c>
      <c r="G379" s="12" t="s">
        <v>805</v>
      </c>
      <c r="H379" s="12" t="s">
        <v>805</v>
      </c>
      <c r="I379" s="12" t="s">
        <v>25</v>
      </c>
      <c r="J379" s="12" t="s">
        <v>25</v>
      </c>
    </row>
    <row customHeight="1" ht="33" r="380">
      <c r="B380" s="12">
        <f>HYPERLINK("https://gesdoc.uis.edu.co/share/page/folder-details?nodeRef=workspace://SpacesStore/d49252ee-f0e0-4f50-848e-45db4df376e8","2025000379_9701")</f>
      </c>
      <c r="C380" s="12" t="s">
        <v>25</v>
      </c>
      <c r="D380" s="13" t="s">
        <v>454</v>
      </c>
      <c r="E380" s="12" t="s">
        <v>494</v>
      </c>
      <c r="F380" s="12" t="s">
        <v>504</v>
      </c>
      <c r="G380" s="12" t="s">
        <v>746</v>
      </c>
      <c r="H380" s="12" t="s">
        <v>746</v>
      </c>
      <c r="I380" s="12" t="s">
        <v>25</v>
      </c>
      <c r="J380" s="12" t="s">
        <v>25</v>
      </c>
    </row>
    <row customHeight="1" ht="33" r="381">
      <c r="B381" s="12">
        <f>HYPERLINK("https://gesdoc.uis.edu.co/share/page/folder-details?nodeRef=workspace://SpacesStore/d5a85c86-c535-4080-8710-0e80e31b26e0","2025000385_9701")</f>
      </c>
      <c r="C381" s="12" t="s">
        <v>25</v>
      </c>
      <c r="D381" s="13" t="s">
        <v>454</v>
      </c>
      <c r="E381" s="12" t="s">
        <v>494</v>
      </c>
      <c r="F381" s="12" t="s">
        <v>504</v>
      </c>
      <c r="G381" s="12" t="s">
        <v>806</v>
      </c>
      <c r="H381" s="12" t="s">
        <v>805</v>
      </c>
      <c r="I381" s="12" t="s">
        <v>25</v>
      </c>
      <c r="J381" s="12" t="s">
        <v>25</v>
      </c>
    </row>
    <row customHeight="1" ht="33" r="382">
      <c r="B382" s="12">
        <f>HYPERLINK("https://gesdoc.uis.edu.co/share/page/folder-details?nodeRef=workspace://SpacesStore/3ef29e0c-6f24-496b-8891-5102c020a045","2025000383_9701")</f>
      </c>
      <c r="C382" s="12" t="s">
        <v>25</v>
      </c>
      <c r="D382" s="13" t="s">
        <v>454</v>
      </c>
      <c r="E382" s="12" t="s">
        <v>494</v>
      </c>
      <c r="F382" s="12" t="s">
        <v>504</v>
      </c>
      <c r="G382" s="12" t="s">
        <v>806</v>
      </c>
      <c r="H382" s="12" t="s">
        <v>806</v>
      </c>
      <c r="I382" s="12" t="s">
        <v>25</v>
      </c>
      <c r="J382" s="12" t="s">
        <v>25</v>
      </c>
    </row>
    <row customHeight="1" ht="33" r="383">
      <c r="B383" s="12">
        <f>HYPERLINK("https://gesdoc.uis.edu.co/share/page/folder-details?nodeRef=workspace://SpacesStore/da27d957-1aa3-4e69-9b8e-b88fc63efb10","2025000381_9701")</f>
      </c>
      <c r="C383" s="12" t="s">
        <v>25</v>
      </c>
      <c r="D383" s="13" t="s">
        <v>454</v>
      </c>
      <c r="E383" s="12" t="s">
        <v>494</v>
      </c>
      <c r="F383" s="12" t="s">
        <v>504</v>
      </c>
      <c r="G383" s="12" t="s">
        <v>746</v>
      </c>
      <c r="H383" s="12" t="s">
        <v>806</v>
      </c>
      <c r="I383" s="12" t="s">
        <v>25</v>
      </c>
      <c r="J383" s="12" t="s">
        <v>25</v>
      </c>
    </row>
    <row customHeight="1" ht="33" r="384">
      <c r="B384" s="12">
        <f>HYPERLINK("https://gesdoc.uis.edu.co/share/page/folder-details?nodeRef=workspace://SpacesStore/e3e60355-74a2-46f6-a165-dd0b9962fa30","2025000382_9701")</f>
      </c>
      <c r="C384" s="12" t="s">
        <v>25</v>
      </c>
      <c r="D384" s="13" t="s">
        <v>454</v>
      </c>
      <c r="E384" s="12" t="s">
        <v>494</v>
      </c>
      <c r="F384" s="12" t="s">
        <v>504</v>
      </c>
      <c r="G384" s="12" t="s">
        <v>806</v>
      </c>
      <c r="H384" s="12" t="s">
        <v>806</v>
      </c>
      <c r="I384" s="12" t="s">
        <v>25</v>
      </c>
      <c r="J384" s="12" t="s">
        <v>25</v>
      </c>
    </row>
    <row customHeight="1" ht="33" r="385">
      <c r="B385" s="12">
        <f>HYPERLINK("https://gesdoc.uis.edu.co/share/page/folder-details?nodeRef=workspace://SpacesStore/fd94233c-6663-45b0-b56d-011e7d1f1c3a","2025000390_9701")</f>
      </c>
      <c r="C385" s="12" t="s">
        <v>25</v>
      </c>
      <c r="D385" s="13" t="s">
        <v>454</v>
      </c>
      <c r="E385" s="12" t="s">
        <v>494</v>
      </c>
      <c r="F385" s="12" t="s">
        <v>504</v>
      </c>
      <c r="G385" s="12" t="s">
        <v>807</v>
      </c>
      <c r="H385" s="12" t="s">
        <v>808</v>
      </c>
      <c r="I385" s="12" t="s">
        <v>25</v>
      </c>
      <c r="J385" s="12" t="s">
        <v>25</v>
      </c>
    </row>
    <row customHeight="1" ht="33" r="386">
      <c r="B386" s="12">
        <f>HYPERLINK("https://gesdoc.uis.edu.co/share/page/folder-details?nodeRef=workspace://SpacesStore/a38a7426-2bc9-4d07-a23b-47e1615760bc","2025000392_9701")</f>
      </c>
      <c r="C386" s="12" t="s">
        <v>25</v>
      </c>
      <c r="D386" s="13" t="s">
        <v>454</v>
      </c>
      <c r="E386" s="12" t="s">
        <v>494</v>
      </c>
      <c r="F386" s="12" t="s">
        <v>504</v>
      </c>
      <c r="G386" s="12" t="s">
        <v>808</v>
      </c>
      <c r="H386" s="12" t="s">
        <v>808</v>
      </c>
      <c r="I386" s="12" t="s">
        <v>25</v>
      </c>
      <c r="J386" s="12" t="s">
        <v>25</v>
      </c>
    </row>
    <row customHeight="1" ht="33" r="387">
      <c r="B387" s="12">
        <f>HYPERLINK("https://gesdoc.uis.edu.co/share/page/folder-details?nodeRef=workspace://SpacesStore/12822751-3e7c-4ea2-8917-6b15e55bb4e2","2025000388_9701")</f>
      </c>
      <c r="C387" s="12" t="s">
        <v>25</v>
      </c>
      <c r="D387" s="13" t="s">
        <v>454</v>
      </c>
      <c r="E387" s="12" t="s">
        <v>494</v>
      </c>
      <c r="F387" s="12" t="s">
        <v>504</v>
      </c>
      <c r="G387" s="12" t="s">
        <v>805</v>
      </c>
      <c r="H387" s="12" t="s">
        <v>807</v>
      </c>
      <c r="I387" s="12" t="s">
        <v>25</v>
      </c>
      <c r="J387" s="12" t="s">
        <v>25</v>
      </c>
    </row>
    <row customHeight="1" ht="33" r="388">
      <c r="B388" s="12">
        <f>HYPERLINK("https://gesdoc.uis.edu.co/share/page/folder-details?nodeRef=workspace://SpacesStore/cfbe28bb-d031-476d-9fed-814fc97351da","2025000389_9701")</f>
      </c>
      <c r="C388" s="12" t="s">
        <v>25</v>
      </c>
      <c r="D388" s="13" t="s">
        <v>454</v>
      </c>
      <c r="E388" s="12" t="s">
        <v>494</v>
      </c>
      <c r="F388" s="12" t="s">
        <v>504</v>
      </c>
      <c r="G388" s="12" t="s">
        <v>807</v>
      </c>
      <c r="H388" s="12" t="s">
        <v>807</v>
      </c>
      <c r="I388" s="12" t="s">
        <v>25</v>
      </c>
      <c r="J388" s="12" t="s">
        <v>25</v>
      </c>
    </row>
    <row customHeight="1" ht="33" r="389">
      <c r="B389" s="12">
        <f>HYPERLINK("https://gesdoc.uis.edu.co/share/page/folder-details?nodeRef=workspace://SpacesStore/89e3895f-8adf-483f-884c-c0e76db86393","2025000327_9701_9703")</f>
      </c>
      <c r="C389" s="12" t="s">
        <v>25</v>
      </c>
      <c r="D389" s="13" t="s">
        <v>454</v>
      </c>
      <c r="E389" s="12" t="s">
        <v>494</v>
      </c>
      <c r="F389" s="12" t="s">
        <v>504</v>
      </c>
      <c r="G389" s="12" t="s">
        <v>809</v>
      </c>
      <c r="H389" s="12" t="s">
        <v>810</v>
      </c>
      <c r="I389" s="12" t="s">
        <v>25</v>
      </c>
      <c r="J389" s="12" t="s">
        <v>25</v>
      </c>
    </row>
    <row customHeight="1" ht="33" r="390">
      <c r="B390" s="12">
        <f>HYPERLINK("https://gesdoc.uis.edu.co/share/page/folder-details?nodeRef=workspace://SpacesStore/6bda6734-7ddd-4bd3-833f-0c867ebc0cee","2025000332_9701")</f>
      </c>
      <c r="C390" s="12" t="s">
        <v>25</v>
      </c>
      <c r="D390" s="13" t="s">
        <v>454</v>
      </c>
      <c r="E390" s="12" t="s">
        <v>494</v>
      </c>
      <c r="F390" s="12" t="s">
        <v>504</v>
      </c>
      <c r="G390" s="12" t="s">
        <v>810</v>
      </c>
      <c r="H390" s="12" t="s">
        <v>810</v>
      </c>
      <c r="I390" s="12" t="s">
        <v>25</v>
      </c>
      <c r="J390" s="12" t="s">
        <v>25</v>
      </c>
    </row>
    <row customHeight="1" ht="33" r="391">
      <c r="B391" s="12">
        <f>HYPERLINK("https://gesdoc.uis.edu.co/share/page/folder-details?nodeRef=workspace://SpacesStore/7bee35dd-20c7-4445-b078-6606c5adfbeb","2025000370_9701")</f>
      </c>
      <c r="C391" s="12" t="s">
        <v>25</v>
      </c>
      <c r="D391" s="13" t="s">
        <v>454</v>
      </c>
      <c r="E391" s="12" t="s">
        <v>494</v>
      </c>
      <c r="F391" s="12" t="s">
        <v>504</v>
      </c>
      <c r="G391" s="12" t="s">
        <v>804</v>
      </c>
      <c r="H391" s="12" t="s">
        <v>804</v>
      </c>
      <c r="I391" s="12" t="s">
        <v>25</v>
      </c>
      <c r="J391" s="12" t="s">
        <v>25</v>
      </c>
    </row>
    <row customHeight="1" ht="33" r="392">
      <c r="B392" s="12">
        <f>HYPERLINK("https://gesdoc.uis.edu.co/share/page/folder-details?nodeRef=workspace://SpacesStore/3e434d9f-c4fb-47f6-bc00-41f705103449","2025000374_9701")</f>
      </c>
      <c r="C392" s="12" t="s">
        <v>25</v>
      </c>
      <c r="D392" s="13" t="s">
        <v>454</v>
      </c>
      <c r="E392" s="12" t="s">
        <v>494</v>
      </c>
      <c r="F392" s="12" t="s">
        <v>504</v>
      </c>
      <c r="G392" s="12" t="s">
        <v>804</v>
      </c>
      <c r="H392" s="12" t="s">
        <v>811</v>
      </c>
      <c r="I392" s="12" t="s">
        <v>25</v>
      </c>
      <c r="J392" s="12" t="s">
        <v>25</v>
      </c>
    </row>
    <row customHeight="1" ht="33" r="393">
      <c r="B393" s="12">
        <f>HYPERLINK("https://gesdoc.uis.edu.co/share/page/folder-details?nodeRef=workspace://SpacesStore/6aa90b25-335a-4677-9c08-cec989a10b1e","2025000376_9701")</f>
      </c>
      <c r="C393" s="12" t="s">
        <v>25</v>
      </c>
      <c r="D393" s="13" t="s">
        <v>454</v>
      </c>
      <c r="E393" s="12" t="s">
        <v>494</v>
      </c>
      <c r="F393" s="12" t="s">
        <v>504</v>
      </c>
      <c r="G393" s="12" t="s">
        <v>811</v>
      </c>
      <c r="H393" s="12" t="s">
        <v>811</v>
      </c>
      <c r="I393" s="12" t="s">
        <v>25</v>
      </c>
      <c r="J393" s="12" t="s">
        <v>25</v>
      </c>
    </row>
    <row customHeight="1" ht="33" r="394">
      <c r="B394" s="12">
        <f>HYPERLINK("https://gesdoc.uis.edu.co/share/page/folder-details?nodeRef=workspace://SpacesStore/ea189e34-50b9-4575-91a9-a804c4a59d53","0018_2026002486_7003")</f>
      </c>
      <c r="C394" s="12" t="s">
        <v>304</v>
      </c>
      <c r="D394" s="13" t="s">
        <v>452</v>
      </c>
      <c r="E394" s="12" t="s">
        <v>494</v>
      </c>
      <c r="F394" s="12" t="s">
        <v>500</v>
      </c>
      <c r="G394" s="12" t="s">
        <v>812</v>
      </c>
      <c r="H394" s="12" t="s">
        <v>1158</v>
      </c>
      <c r="I394" s="12" t="s">
        <v>25</v>
      </c>
      <c r="J394" s="12" t="s">
        <v>25</v>
      </c>
    </row>
    <row customHeight="1" ht="33" r="395">
      <c r="B395" s="12">
        <f>HYPERLINK("https://gesdoc.uis.edu.co/share/page/folder-details?nodeRef=workspace://SpacesStore/0c0caef4-8b49-4ec9-b913-d3ba0fcdff5e","2025000306_9701")</f>
      </c>
      <c r="C395" s="12" t="s">
        <v>25</v>
      </c>
      <c r="D395" s="13" t="s">
        <v>454</v>
      </c>
      <c r="E395" s="12" t="s">
        <v>494</v>
      </c>
      <c r="F395" s="12" t="s">
        <v>504</v>
      </c>
      <c r="G395" s="12" t="s">
        <v>813</v>
      </c>
      <c r="H395" s="12" t="s">
        <v>813</v>
      </c>
      <c r="I395" s="12" t="s">
        <v>25</v>
      </c>
      <c r="J395" s="12" t="s">
        <v>25</v>
      </c>
    </row>
    <row customHeight="1" ht="33" r="396">
      <c r="B396" s="12">
        <f>HYPERLINK("https://gesdoc.uis.edu.co/share/page/folder-details?nodeRef=workspace://SpacesStore/6efed09e-54d7-4ad1-9895-831761b336a3","2025000322_9701")</f>
      </c>
      <c r="C396" s="12" t="s">
        <v>25</v>
      </c>
      <c r="D396" s="13" t="s">
        <v>454</v>
      </c>
      <c r="E396" s="12" t="s">
        <v>494</v>
      </c>
      <c r="F396" s="12" t="s">
        <v>504</v>
      </c>
      <c r="G396" s="12" t="s">
        <v>814</v>
      </c>
      <c r="H396" s="12" t="s">
        <v>814</v>
      </c>
      <c r="I396" s="12" t="s">
        <v>25</v>
      </c>
      <c r="J396" s="12" t="s">
        <v>25</v>
      </c>
    </row>
    <row customHeight="1" ht="33" r="397">
      <c r="B397" s="12">
        <f>HYPERLINK("https://gesdoc.uis.edu.co/share/page/folder-details?nodeRef=workspace://SpacesStore/ee2bcb50-152c-42d5-885d-76c008e96a00","2025000347_9701")</f>
      </c>
      <c r="C397" s="12" t="s">
        <v>25</v>
      </c>
      <c r="D397" s="13" t="s">
        <v>454</v>
      </c>
      <c r="E397" s="12" t="s">
        <v>494</v>
      </c>
      <c r="F397" s="12" t="s">
        <v>504</v>
      </c>
      <c r="G397" s="12" t="s">
        <v>815</v>
      </c>
      <c r="H397" s="12" t="s">
        <v>815</v>
      </c>
      <c r="I397" s="12" t="s">
        <v>25</v>
      </c>
      <c r="J397" s="12" t="s">
        <v>25</v>
      </c>
    </row>
    <row customHeight="1" ht="33" r="398">
      <c r="B398" s="12">
        <f>HYPERLINK("https://gesdoc.uis.edu.co/share/page/folder-details?nodeRef=workspace://SpacesStore/cfb2b83c-b6c6-459e-acd5-22fa651400a1","2025000299_9701")</f>
      </c>
      <c r="C398" s="12" t="s">
        <v>25</v>
      </c>
      <c r="D398" s="13" t="s">
        <v>454</v>
      </c>
      <c r="E398" s="12" t="s">
        <v>494</v>
      </c>
      <c r="F398" s="12" t="s">
        <v>504</v>
      </c>
      <c r="G398" s="12" t="s">
        <v>816</v>
      </c>
      <c r="H398" s="12" t="s">
        <v>816</v>
      </c>
      <c r="I398" s="12" t="s">
        <v>25</v>
      </c>
      <c r="J398" s="12" t="s">
        <v>25</v>
      </c>
    </row>
    <row customHeight="1" ht="33" r="399">
      <c r="B399" s="12">
        <f>HYPERLINK("https://gesdoc.uis.edu.co/share/page/folder-details?nodeRef=workspace://SpacesStore/32c86e87-7b81-4273-bfc6-03d1e1cc5694","2025000297_9701")</f>
      </c>
      <c r="C399" s="12" t="s">
        <v>25</v>
      </c>
      <c r="D399" s="13" t="s">
        <v>454</v>
      </c>
      <c r="E399" s="12" t="s">
        <v>494</v>
      </c>
      <c r="F399" s="12" t="s">
        <v>504</v>
      </c>
      <c r="G399" s="12" t="s">
        <v>817</v>
      </c>
      <c r="H399" s="12" t="s">
        <v>816</v>
      </c>
      <c r="I399" s="12" t="s">
        <v>25</v>
      </c>
      <c r="J399" s="12" t="s">
        <v>25</v>
      </c>
    </row>
    <row customHeight="1" ht="33" r="400">
      <c r="B400" s="12">
        <f>HYPERLINK("https://gesdoc.uis.edu.co/share/page/folder-details?nodeRef=workspace://SpacesStore/93dc5313-2317-4f78-a20d-ae0fc36bec16","2025000315_9701")</f>
      </c>
      <c r="C400" s="12" t="s">
        <v>25</v>
      </c>
      <c r="D400" s="13" t="s">
        <v>454</v>
      </c>
      <c r="E400" s="12" t="s">
        <v>494</v>
      </c>
      <c r="F400" s="12" t="s">
        <v>504</v>
      </c>
      <c r="G400" s="12" t="s">
        <v>813</v>
      </c>
      <c r="H400" s="12" t="s">
        <v>814</v>
      </c>
      <c r="I400" s="12" t="s">
        <v>25</v>
      </c>
      <c r="J400" s="12" t="s">
        <v>25</v>
      </c>
    </row>
    <row customHeight="1" ht="33" r="401">
      <c r="B401" s="12">
        <f>HYPERLINK("https://gesdoc.uis.edu.co/share/page/folder-details?nodeRef=workspace://SpacesStore/661097a0-9786-4b82-9faa-76fe20c24958","2025000336_9701")</f>
      </c>
      <c r="C401" s="12" t="s">
        <v>25</v>
      </c>
      <c r="D401" s="13" t="s">
        <v>454</v>
      </c>
      <c r="E401" s="12" t="s">
        <v>494</v>
      </c>
      <c r="F401" s="12" t="s">
        <v>504</v>
      </c>
      <c r="G401" s="12" t="s">
        <v>818</v>
      </c>
      <c r="H401" s="12" t="s">
        <v>818</v>
      </c>
      <c r="I401" s="12" t="s">
        <v>25</v>
      </c>
      <c r="J401" s="12" t="s">
        <v>25</v>
      </c>
    </row>
    <row customHeight="1" ht="33" r="402">
      <c r="B402" s="12">
        <f>HYPERLINK("https://gesdoc.uis.edu.co/share/page/folder-details?nodeRef=workspace://SpacesStore/3e995dba-3472-42c9-b6b0-38cc4411941e","2025000396_9701")</f>
      </c>
      <c r="C402" s="12" t="s">
        <v>25</v>
      </c>
      <c r="D402" s="13" t="s">
        <v>454</v>
      </c>
      <c r="E402" s="12" t="s">
        <v>494</v>
      </c>
      <c r="F402" s="12" t="s">
        <v>504</v>
      </c>
      <c r="G402" s="12" t="s">
        <v>819</v>
      </c>
      <c r="H402" s="12" t="s">
        <v>819</v>
      </c>
      <c r="I402" s="12" t="s">
        <v>25</v>
      </c>
      <c r="J402" s="12" t="s">
        <v>25</v>
      </c>
    </row>
    <row customHeight="1" ht="33" r="403">
      <c r="B403" s="12">
        <f>HYPERLINK("https://gesdoc.uis.edu.co/share/page/folder-details?nodeRef=workspace://SpacesStore/62ce7557-e054-4923-827c-26b1320604f3","2025000416_9701")</f>
      </c>
      <c r="C403" s="12" t="s">
        <v>25</v>
      </c>
      <c r="D403" s="13" t="s">
        <v>454</v>
      </c>
      <c r="E403" s="12" t="s">
        <v>494</v>
      </c>
      <c r="F403" s="12" t="s">
        <v>504</v>
      </c>
      <c r="G403" s="12" t="s">
        <v>750</v>
      </c>
      <c r="H403" s="12" t="s">
        <v>750</v>
      </c>
      <c r="I403" s="12" t="s">
        <v>25</v>
      </c>
      <c r="J403" s="12" t="s">
        <v>25</v>
      </c>
    </row>
    <row customHeight="1" ht="33" r="404">
      <c r="B404" s="12">
        <f>HYPERLINK("https://gesdoc.uis.edu.co/share/page/folder-details?nodeRef=workspace://SpacesStore/5a10d564-0030-4bd3-adc0-643241fd5964","2025000466_9701")</f>
      </c>
      <c r="C404" s="12" t="s">
        <v>25</v>
      </c>
      <c r="D404" s="13" t="s">
        <v>454</v>
      </c>
      <c r="E404" s="12" t="s">
        <v>494</v>
      </c>
      <c r="F404" s="12" t="s">
        <v>504</v>
      </c>
      <c r="G404" s="12" t="s">
        <v>820</v>
      </c>
      <c r="H404" s="12" t="s">
        <v>820</v>
      </c>
      <c r="I404" s="12" t="s">
        <v>25</v>
      </c>
      <c r="J404" s="12" t="s">
        <v>25</v>
      </c>
    </row>
    <row customHeight="1" ht="33" r="405">
      <c r="B405" s="12">
        <f>HYPERLINK("https://gesdoc.uis.edu.co/share/page/folder-details?nodeRef=workspace://SpacesStore/692c0fe3-a963-498c-bebd-783de3a5828c","2025000467_9701")</f>
      </c>
      <c r="C405" s="12" t="s">
        <v>25</v>
      </c>
      <c r="D405" s="13" t="s">
        <v>454</v>
      </c>
      <c r="E405" s="12" t="s">
        <v>494</v>
      </c>
      <c r="F405" s="12" t="s">
        <v>504</v>
      </c>
      <c r="G405" s="12" t="s">
        <v>820</v>
      </c>
      <c r="H405" s="12" t="s">
        <v>1159</v>
      </c>
      <c r="I405" s="12" t="s">
        <v>25</v>
      </c>
      <c r="J405" s="12" t="s">
        <v>25</v>
      </c>
    </row>
    <row customHeight="1" ht="33" r="406">
      <c r="B406" s="12">
        <f>HYPERLINK("https://gesdoc.uis.edu.co/share/page/folder-details?nodeRef=workspace://SpacesStore/a247107f-0c72-4724-8b6e-46e578bf260f","2025000468_9701")</f>
      </c>
      <c r="C406" s="12" t="s">
        <v>25</v>
      </c>
      <c r="D406" s="13" t="s">
        <v>454</v>
      </c>
      <c r="E406" s="12" t="s">
        <v>494</v>
      </c>
      <c r="F406" s="12" t="s">
        <v>504</v>
      </c>
      <c r="G406" s="12" t="s">
        <v>821</v>
      </c>
      <c r="H406" s="12" t="s">
        <v>821</v>
      </c>
      <c r="I406" s="12" t="s">
        <v>25</v>
      </c>
      <c r="J406" s="12" t="s">
        <v>25</v>
      </c>
    </row>
    <row customHeight="1" ht="33" r="407">
      <c r="B407" s="12">
        <f>HYPERLINK("https://gesdoc.uis.edu.co/share/page/folder-details?nodeRef=workspace://SpacesStore/d93becba-a532-4ccd-a9df-d1729fdaf71d","2025000472_9701")</f>
      </c>
      <c r="C407" s="12" t="s">
        <v>25</v>
      </c>
      <c r="D407" s="13" t="s">
        <v>454</v>
      </c>
      <c r="E407" s="12" t="s">
        <v>494</v>
      </c>
      <c r="F407" s="12" t="s">
        <v>504</v>
      </c>
      <c r="G407" s="12" t="s">
        <v>821</v>
      </c>
      <c r="H407" s="12" t="s">
        <v>822</v>
      </c>
      <c r="I407" s="12" t="s">
        <v>25</v>
      </c>
      <c r="J407" s="12" t="s">
        <v>25</v>
      </c>
    </row>
    <row customHeight="1" ht="33" r="408">
      <c r="B408" s="12">
        <f>HYPERLINK("https://gesdoc.uis.edu.co/share/page/folder-details?nodeRef=workspace://SpacesStore/eaca92bc-1a8e-4dba-91ab-84a4bb105ec9","2025000473_9701")</f>
      </c>
      <c r="C408" s="12" t="s">
        <v>25</v>
      </c>
      <c r="D408" s="13" t="s">
        <v>454</v>
      </c>
      <c r="E408" s="12" t="s">
        <v>494</v>
      </c>
      <c r="F408" s="12" t="s">
        <v>504</v>
      </c>
      <c r="G408" s="12" t="s">
        <v>822</v>
      </c>
      <c r="H408" s="12" t="s">
        <v>822</v>
      </c>
      <c r="I408" s="12" t="s">
        <v>25</v>
      </c>
      <c r="J408" s="12" t="s">
        <v>25</v>
      </c>
    </row>
    <row customHeight="1" ht="33" r="409">
      <c r="B409" s="12">
        <f>HYPERLINK("https://gesdoc.uis.edu.co/share/page/folder-details?nodeRef=workspace://SpacesStore/c0120775-9d01-44c9-89ba-dbf3384105de","2025000470_9702")</f>
      </c>
      <c r="C409" s="12" t="s">
        <v>25</v>
      </c>
      <c r="D409" s="13" t="s">
        <v>454</v>
      </c>
      <c r="E409" s="12" t="s">
        <v>494</v>
      </c>
      <c r="F409" s="12" t="s">
        <v>504</v>
      </c>
      <c r="G409" s="12" t="s">
        <v>821</v>
      </c>
      <c r="H409" s="12" t="s">
        <v>821</v>
      </c>
      <c r="I409" s="12" t="s">
        <v>25</v>
      </c>
      <c r="J409" s="12" t="s">
        <v>25</v>
      </c>
    </row>
    <row customHeight="1" ht="33" r="410">
      <c r="B410" s="12">
        <f>HYPERLINK("https://gesdoc.uis.edu.co/share/page/folder-details?nodeRef=workspace://SpacesStore/4f86dd55-f30d-48a8-bc39-ecd4aaee8482","2025000471_9701")</f>
      </c>
      <c r="C410" s="12" t="s">
        <v>25</v>
      </c>
      <c r="D410" s="13" t="s">
        <v>454</v>
      </c>
      <c r="E410" s="12" t="s">
        <v>494</v>
      </c>
      <c r="F410" s="12" t="s">
        <v>504</v>
      </c>
      <c r="G410" s="12" t="s">
        <v>821</v>
      </c>
      <c r="H410" s="12" t="s">
        <v>821</v>
      </c>
      <c r="I410" s="12" t="s">
        <v>25</v>
      </c>
      <c r="J410" s="12" t="s">
        <v>25</v>
      </c>
    </row>
    <row customHeight="1" ht="33" r="411">
      <c r="B411" s="12">
        <f>HYPERLINK("https://gesdoc.uis.edu.co/share/page/folder-details?nodeRef=workspace://SpacesStore/1c6f6f19-697b-43a6-8a09-2ddbafc9793a","2025000393_9701")</f>
      </c>
      <c r="C411" s="12" t="s">
        <v>25</v>
      </c>
      <c r="D411" s="13" t="s">
        <v>454</v>
      </c>
      <c r="E411" s="12" t="s">
        <v>494</v>
      </c>
      <c r="F411" s="12" t="s">
        <v>504</v>
      </c>
      <c r="G411" s="12" t="s">
        <v>823</v>
      </c>
      <c r="H411" s="12" t="s">
        <v>823</v>
      </c>
      <c r="I411" s="12" t="s">
        <v>25</v>
      </c>
      <c r="J411" s="12" t="s">
        <v>25</v>
      </c>
    </row>
    <row customHeight="1" ht="33" r="412">
      <c r="B412" s="12">
        <f>HYPERLINK("https://gesdoc.uis.edu.co/share/page/folder-details?nodeRef=workspace://SpacesStore/bdc4a19f-94a6-4d79-aec6-90444739e47b","2025000394_9701")</f>
      </c>
      <c r="C412" s="12" t="s">
        <v>25</v>
      </c>
      <c r="D412" s="13" t="s">
        <v>454</v>
      </c>
      <c r="E412" s="12" t="s">
        <v>494</v>
      </c>
      <c r="F412" s="12" t="s">
        <v>504</v>
      </c>
      <c r="G412" s="12" t="s">
        <v>823</v>
      </c>
      <c r="H412" s="12" t="s">
        <v>819</v>
      </c>
      <c r="I412" s="12" t="s">
        <v>25</v>
      </c>
      <c r="J412" s="12" t="s">
        <v>25</v>
      </c>
    </row>
    <row customHeight="1" ht="33" r="413">
      <c r="B413" s="12">
        <f>HYPERLINK("https://gesdoc.uis.edu.co/share/page/folder-details?nodeRef=workspace://SpacesStore/ef331cd6-1a3c-4b06-9d05-1e073230d35b","2025000477_9701")</f>
      </c>
      <c r="C413" s="12" t="s">
        <v>25</v>
      </c>
      <c r="D413" s="13" t="s">
        <v>454</v>
      </c>
      <c r="E413" s="12" t="s">
        <v>494</v>
      </c>
      <c r="F413" s="12" t="s">
        <v>504</v>
      </c>
      <c r="G413" s="12" t="s">
        <v>824</v>
      </c>
      <c r="H413" s="12" t="s">
        <v>824</v>
      </c>
      <c r="I413" s="12" t="s">
        <v>25</v>
      </c>
      <c r="J413" s="12" t="s">
        <v>25</v>
      </c>
    </row>
    <row customHeight="1" ht="33" r="414">
      <c r="B414" s="12">
        <f>HYPERLINK("https://gesdoc.uis.edu.co/share/page/folder-details?nodeRef=workspace://SpacesStore/876ce5a4-9bf5-4f83-9473-ce9be5b98c0a","2025000476_9701")</f>
      </c>
      <c r="C414" s="12" t="s">
        <v>25</v>
      </c>
      <c r="D414" s="13" t="s">
        <v>454</v>
      </c>
      <c r="E414" s="12" t="s">
        <v>494</v>
      </c>
      <c r="F414" s="12" t="s">
        <v>504</v>
      </c>
      <c r="G414" s="12" t="s">
        <v>824</v>
      </c>
      <c r="H414" s="12" t="s">
        <v>824</v>
      </c>
      <c r="I414" s="12" t="s">
        <v>25</v>
      </c>
      <c r="J414" s="12" t="s">
        <v>25</v>
      </c>
    </row>
    <row customHeight="1" ht="33" r="415">
      <c r="B415" s="12">
        <f>HYPERLINK("https://gesdoc.uis.edu.co/share/page/folder-details?nodeRef=workspace://SpacesStore/858b382e-9cfc-46ee-a58e-60001aca1cb5","2025000480_9702")</f>
      </c>
      <c r="C415" s="12" t="s">
        <v>25</v>
      </c>
      <c r="D415" s="13" t="s">
        <v>454</v>
      </c>
      <c r="E415" s="12" t="s">
        <v>494</v>
      </c>
      <c r="F415" s="12" t="s">
        <v>504</v>
      </c>
      <c r="G415" s="12" t="s">
        <v>824</v>
      </c>
      <c r="H415" s="12" t="s">
        <v>824</v>
      </c>
      <c r="I415" s="12" t="s">
        <v>25</v>
      </c>
      <c r="J415" s="12" t="s">
        <v>25</v>
      </c>
    </row>
    <row customHeight="1" ht="33" r="416">
      <c r="B416" s="12">
        <f>HYPERLINK("https://gesdoc.uis.edu.co/share/page/folder-details?nodeRef=workspace://SpacesStore/5c52dae5-8acc-484d-816b-dc02e526a207","2025000482_9702")</f>
      </c>
      <c r="C416" s="12" t="s">
        <v>25</v>
      </c>
      <c r="D416" s="13" t="s">
        <v>454</v>
      </c>
      <c r="E416" s="12" t="s">
        <v>494</v>
      </c>
      <c r="F416" s="12" t="s">
        <v>504</v>
      </c>
      <c r="G416" s="12" t="s">
        <v>824</v>
      </c>
      <c r="H416" s="12" t="s">
        <v>827</v>
      </c>
      <c r="I416" s="12" t="s">
        <v>25</v>
      </c>
      <c r="J416" s="12" t="s">
        <v>25</v>
      </c>
    </row>
    <row customHeight="1" ht="33" r="417">
      <c r="B417" s="12">
        <f>HYPERLINK("https://gesdoc.uis.edu.co/share/page/folder-details?nodeRef=workspace://SpacesStore/f9b8e231-ffcd-483d-ab0a-e22ee10dcb85","2025000485_9701")</f>
      </c>
      <c r="C417" s="12" t="s">
        <v>25</v>
      </c>
      <c r="D417" s="13" t="s">
        <v>454</v>
      </c>
      <c r="E417" s="12" t="s">
        <v>494</v>
      </c>
      <c r="F417" s="12" t="s">
        <v>504</v>
      </c>
      <c r="G417" s="12" t="s">
        <v>825</v>
      </c>
      <c r="H417" s="12" t="s">
        <v>825</v>
      </c>
      <c r="I417" s="12" t="s">
        <v>25</v>
      </c>
      <c r="J417" s="12" t="s">
        <v>25</v>
      </c>
    </row>
    <row customHeight="1" ht="33" r="418">
      <c r="B418" s="12">
        <f>HYPERLINK("https://gesdoc.uis.edu.co/share/page/folder-details?nodeRef=workspace://SpacesStore/a89b5427-a0ef-41d9-9317-02991b22b9e4","2025000495_9701")</f>
      </c>
      <c r="C418" s="12" t="s">
        <v>25</v>
      </c>
      <c r="D418" s="13" t="s">
        <v>454</v>
      </c>
      <c r="E418" s="12" t="s">
        <v>494</v>
      </c>
      <c r="F418" s="12" t="s">
        <v>504</v>
      </c>
      <c r="G418" s="12" t="s">
        <v>826</v>
      </c>
      <c r="H418" s="12" t="s">
        <v>826</v>
      </c>
      <c r="I418" s="12" t="s">
        <v>25</v>
      </c>
      <c r="J418" s="12" t="s">
        <v>25</v>
      </c>
    </row>
    <row customHeight="1" ht="33" r="419">
      <c r="B419" s="12">
        <f>HYPERLINK("https://gesdoc.uis.edu.co/share/page/folder-details?nodeRef=workspace://SpacesStore/76e9c82d-bb6b-4a7a-b6d2-f354f4ef401b","2025000484_9701")</f>
      </c>
      <c r="C419" s="12" t="s">
        <v>25</v>
      </c>
      <c r="D419" s="13" t="s">
        <v>454</v>
      </c>
      <c r="E419" s="12" t="s">
        <v>494</v>
      </c>
      <c r="F419" s="12" t="s">
        <v>504</v>
      </c>
      <c r="G419" s="12" t="s">
        <v>827</v>
      </c>
      <c r="H419" s="12" t="s">
        <v>825</v>
      </c>
      <c r="I419" s="12" t="s">
        <v>25</v>
      </c>
      <c r="J419" s="12" t="s">
        <v>25</v>
      </c>
    </row>
    <row customHeight="1" ht="33" r="420">
      <c r="B420" s="12">
        <f>HYPERLINK("https://gesdoc.uis.edu.co/share/page/folder-details?nodeRef=workspace://SpacesStore/ef8c0450-1fc5-41b1-9133-f965bb58ceae","2025000489_9701")</f>
      </c>
      <c r="C420" s="12" t="s">
        <v>25</v>
      </c>
      <c r="D420" s="13" t="s">
        <v>454</v>
      </c>
      <c r="E420" s="12" t="s">
        <v>494</v>
      </c>
      <c r="F420" s="12" t="s">
        <v>504</v>
      </c>
      <c r="G420" s="12" t="s">
        <v>826</v>
      </c>
      <c r="H420" s="12" t="s">
        <v>826</v>
      </c>
      <c r="I420" s="12" t="s">
        <v>25</v>
      </c>
      <c r="J420" s="12" t="s">
        <v>25</v>
      </c>
    </row>
    <row customHeight="1" ht="33" r="421">
      <c r="B421" s="12">
        <f>HYPERLINK("https://gesdoc.uis.edu.co/share/page/folder-details?nodeRef=workspace://SpacesStore/96b3b032-cf46-4feb-b8dd-a5b90aeff2f9","2025000488_9702")</f>
      </c>
      <c r="C421" s="12" t="s">
        <v>25</v>
      </c>
      <c r="D421" s="13" t="s">
        <v>454</v>
      </c>
      <c r="E421" s="12" t="s">
        <v>494</v>
      </c>
      <c r="F421" s="12" t="s">
        <v>504</v>
      </c>
      <c r="G421" s="12" t="s">
        <v>825</v>
      </c>
      <c r="H421" s="12" t="s">
        <v>826</v>
      </c>
      <c r="I421" s="12" t="s">
        <v>25</v>
      </c>
      <c r="J421" s="12" t="s">
        <v>25</v>
      </c>
    </row>
    <row customHeight="1" ht="33" r="422">
      <c r="B422" s="12">
        <f>HYPERLINK("https://gesdoc.uis.edu.co/share/page/folder-details?nodeRef=workspace://SpacesStore/a417981d-85c5-4b4a-b0db-d9758d4c35d2","2025000486_9701")</f>
      </c>
      <c r="C422" s="12" t="s">
        <v>25</v>
      </c>
      <c r="D422" s="13" t="s">
        <v>454</v>
      </c>
      <c r="E422" s="12" t="s">
        <v>494</v>
      </c>
      <c r="F422" s="12" t="s">
        <v>504</v>
      </c>
      <c r="G422" s="12" t="s">
        <v>825</v>
      </c>
      <c r="H422" s="12" t="s">
        <v>825</v>
      </c>
      <c r="I422" s="12" t="s">
        <v>25</v>
      </c>
      <c r="J422" s="12" t="s">
        <v>25</v>
      </c>
    </row>
    <row customHeight="1" ht="33" r="423">
      <c r="B423" s="12">
        <f>HYPERLINK("https://gesdoc.uis.edu.co/share/page/folder-details?nodeRef=workspace://SpacesStore/24340c93-5803-4fb0-9ddd-20a138012d0a","2025000500_9701")</f>
      </c>
      <c r="C423" s="12" t="s">
        <v>25</v>
      </c>
      <c r="D423" s="13" t="s">
        <v>454</v>
      </c>
      <c r="E423" s="12" t="s">
        <v>494</v>
      </c>
      <c r="F423" s="12" t="s">
        <v>504</v>
      </c>
      <c r="G423" s="12" t="s">
        <v>828</v>
      </c>
      <c r="H423" s="12" t="s">
        <v>828</v>
      </c>
      <c r="I423" s="12" t="s">
        <v>25</v>
      </c>
      <c r="J423" s="12" t="s">
        <v>25</v>
      </c>
    </row>
    <row customHeight="1" ht="33" r="424">
      <c r="B424" s="12">
        <f>HYPERLINK("https://gesdoc.uis.edu.co/share/page/folder-details?nodeRef=workspace://SpacesStore/09ea7794-5721-4b7d-8de2-0099bc8c0b12","2025000501_9701")</f>
      </c>
      <c r="C424" s="12" t="s">
        <v>25</v>
      </c>
      <c r="D424" s="13" t="s">
        <v>454</v>
      </c>
      <c r="E424" s="12" t="s">
        <v>494</v>
      </c>
      <c r="F424" s="12" t="s">
        <v>504</v>
      </c>
      <c r="G424" s="12" t="s">
        <v>828</v>
      </c>
      <c r="H424" s="12" t="s">
        <v>828</v>
      </c>
      <c r="I424" s="12" t="s">
        <v>25</v>
      </c>
      <c r="J424" s="12" t="s">
        <v>25</v>
      </c>
    </row>
    <row customHeight="1" ht="33" r="425">
      <c r="B425" s="12">
        <f>HYPERLINK("https://gesdoc.uis.edu.co/share/page/folder-details?nodeRef=workspace://SpacesStore/b5eb75a1-612c-4894-b743-123bfaf208d7","2025000504_9701")</f>
      </c>
      <c r="C425" s="12" t="s">
        <v>25</v>
      </c>
      <c r="D425" s="13" t="s">
        <v>454</v>
      </c>
      <c r="E425" s="12" t="s">
        <v>494</v>
      </c>
      <c r="F425" s="12" t="s">
        <v>504</v>
      </c>
      <c r="G425" s="12" t="s">
        <v>829</v>
      </c>
      <c r="H425" s="12" t="s">
        <v>829</v>
      </c>
      <c r="I425" s="12" t="s">
        <v>25</v>
      </c>
      <c r="J425" s="12" t="s">
        <v>25</v>
      </c>
    </row>
    <row customHeight="1" ht="33" r="426">
      <c r="B426" s="12">
        <f>HYPERLINK("https://gesdoc.uis.edu.co/share/page/folder-details?nodeRef=workspace://SpacesStore/c47f7af9-d596-43c0-9d8b-e606bd9a1ae9","2025000503_9702")</f>
      </c>
      <c r="C426" s="12" t="s">
        <v>25</v>
      </c>
      <c r="D426" s="13" t="s">
        <v>454</v>
      </c>
      <c r="E426" s="12" t="s">
        <v>494</v>
      </c>
      <c r="F426" s="12" t="s">
        <v>504</v>
      </c>
      <c r="G426" s="12" t="s">
        <v>829</v>
      </c>
      <c r="H426" s="12" t="s">
        <v>829</v>
      </c>
      <c r="I426" s="12" t="s">
        <v>25</v>
      </c>
      <c r="J426" s="12" t="s">
        <v>25</v>
      </c>
    </row>
    <row customHeight="1" ht="33" r="427">
      <c r="B427" s="12">
        <f>HYPERLINK("https://gesdoc.uis.edu.co/share/page/folder-details?nodeRef=workspace://SpacesStore/796768ab-9567-41ea-beb7-4f28c1ad0b14","2025000510_9702")</f>
      </c>
      <c r="C427" s="12" t="s">
        <v>25</v>
      </c>
      <c r="D427" s="13" t="s">
        <v>454</v>
      </c>
      <c r="E427" s="12" t="s">
        <v>494</v>
      </c>
      <c r="F427" s="12" t="s">
        <v>504</v>
      </c>
      <c r="G427" s="12" t="s">
        <v>830</v>
      </c>
      <c r="H427" s="12" t="s">
        <v>830</v>
      </c>
      <c r="I427" s="12" t="s">
        <v>25</v>
      </c>
      <c r="J427" s="12" t="s">
        <v>25</v>
      </c>
    </row>
    <row customHeight="1" ht="33" r="428">
      <c r="B428" s="12">
        <f>HYPERLINK("https://gesdoc.uis.edu.co/share/page/folder-details?nodeRef=workspace://SpacesStore/81fee940-a6d4-43e5-bcff-3b86fa51a4fc","2025000509_9701")</f>
      </c>
      <c r="C428" s="12" t="s">
        <v>25</v>
      </c>
      <c r="D428" s="13" t="s">
        <v>454</v>
      </c>
      <c r="E428" s="12" t="s">
        <v>494</v>
      </c>
      <c r="F428" s="12" t="s">
        <v>504</v>
      </c>
      <c r="G428" s="12" t="s">
        <v>829</v>
      </c>
      <c r="H428" s="12" t="s">
        <v>830</v>
      </c>
      <c r="I428" s="12" t="s">
        <v>25</v>
      </c>
      <c r="J428" s="12" t="s">
        <v>25</v>
      </c>
    </row>
    <row customHeight="1" ht="33" r="429">
      <c r="B429" s="12">
        <f>HYPERLINK("https://gesdoc.uis.edu.co/share/page/folder-details?nodeRef=workspace://SpacesStore/e10f4c70-d5c5-426e-aca7-c1f40690a4a0","2025000520_9701")</f>
      </c>
      <c r="C429" s="12" t="s">
        <v>25</v>
      </c>
      <c r="D429" s="13" t="s">
        <v>454</v>
      </c>
      <c r="E429" s="12" t="s">
        <v>494</v>
      </c>
      <c r="F429" s="12" t="s">
        <v>504</v>
      </c>
      <c r="G429" s="12" t="s">
        <v>831</v>
      </c>
      <c r="H429" s="12" t="s">
        <v>831</v>
      </c>
      <c r="I429" s="12" t="s">
        <v>25</v>
      </c>
      <c r="J429" s="12" t="s">
        <v>25</v>
      </c>
    </row>
    <row customHeight="1" ht="33" r="430">
      <c r="B430" s="12">
        <f>HYPERLINK("https://gesdoc.uis.edu.co/share/page/folder-details?nodeRef=workspace://SpacesStore/ef196fd6-819c-44ff-9ae0-4c5da261f404","2025000511_9701")</f>
      </c>
      <c r="C430" s="12" t="s">
        <v>25</v>
      </c>
      <c r="D430" s="13" t="s">
        <v>454</v>
      </c>
      <c r="E430" s="12" t="s">
        <v>494</v>
      </c>
      <c r="F430" s="12" t="s">
        <v>504</v>
      </c>
      <c r="G430" s="12" t="s">
        <v>753</v>
      </c>
      <c r="H430" s="12" t="s">
        <v>753</v>
      </c>
      <c r="I430" s="12" t="s">
        <v>25</v>
      </c>
      <c r="J430" s="12" t="s">
        <v>25</v>
      </c>
    </row>
    <row customHeight="1" ht="33" r="431">
      <c r="B431" s="12">
        <f>HYPERLINK("https://gesdoc.uis.edu.co/share/page/folder-details?nodeRef=workspace://SpacesStore/0130287c-5aed-4124-8c82-6c70b2210fe7","2025000522_9701")</f>
      </c>
      <c r="C431" s="12" t="s">
        <v>25</v>
      </c>
      <c r="D431" s="13" t="s">
        <v>454</v>
      </c>
      <c r="E431" s="12" t="s">
        <v>494</v>
      </c>
      <c r="F431" s="12" t="s">
        <v>504</v>
      </c>
      <c r="G431" s="12" t="s">
        <v>831</v>
      </c>
      <c r="H431" s="12" t="s">
        <v>831</v>
      </c>
      <c r="I431" s="12" t="s">
        <v>25</v>
      </c>
      <c r="J431" s="12" t="s">
        <v>25</v>
      </c>
    </row>
    <row customHeight="1" ht="33" r="432">
      <c r="B432" s="12">
        <f>HYPERLINK("https://gesdoc.uis.edu.co/share/page/folder-details?nodeRef=workspace://SpacesStore/a06c7708-9696-43dc-8d94-df86e459d35b","2025000525_9701")</f>
      </c>
      <c r="C432" s="12" t="s">
        <v>25</v>
      </c>
      <c r="D432" s="13" t="s">
        <v>454</v>
      </c>
      <c r="E432" s="12" t="s">
        <v>494</v>
      </c>
      <c r="F432" s="12" t="s">
        <v>504</v>
      </c>
      <c r="G432" s="12" t="s">
        <v>831</v>
      </c>
      <c r="H432" s="12" t="s">
        <v>754</v>
      </c>
      <c r="I432" s="12" t="s">
        <v>25</v>
      </c>
      <c r="J432" s="12" t="s">
        <v>25</v>
      </c>
    </row>
    <row customHeight="1" ht="33" r="433">
      <c r="B433" s="12">
        <f>HYPERLINK("https://gesdoc.uis.edu.co/share/page/folder-details?nodeRef=workspace://SpacesStore/2dfb56b3-13f1-443a-8279-0b6fc5fd9c70","0234_2026011412_7046")</f>
      </c>
      <c r="C433" s="12" t="s">
        <v>305</v>
      </c>
      <c r="D433" s="13" t="s">
        <v>478</v>
      </c>
      <c r="E433" s="12" t="s">
        <v>494</v>
      </c>
      <c r="F433" s="12" t="s">
        <v>501</v>
      </c>
      <c r="G433" s="12" t="s">
        <v>768</v>
      </c>
      <c r="H433" s="12" t="s">
        <v>768</v>
      </c>
      <c r="I433" s="12" t="s">
        <v>25</v>
      </c>
      <c r="J433" s="12" t="s">
        <v>25</v>
      </c>
    </row>
    <row customHeight="1" ht="33" r="434">
      <c r="B434" s="12">
        <f>HYPERLINK("https://gesdoc.uis.edu.co/share/page/folder-details?nodeRef=workspace://SpacesStore/a4670c21-29af-476a-801a-426064842a97","0234_2026011354_2240")</f>
      </c>
      <c r="C434" s="12" t="s">
        <v>306</v>
      </c>
      <c r="D434" s="13" t="s">
        <v>438</v>
      </c>
      <c r="E434" s="12" t="s">
        <v>494</v>
      </c>
      <c r="F434" s="12" t="s">
        <v>501</v>
      </c>
      <c r="G434" s="12" t="s">
        <v>579</v>
      </c>
      <c r="H434" s="12" t="s">
        <v>1160</v>
      </c>
      <c r="I434" s="12" t="s">
        <v>25</v>
      </c>
      <c r="J434" s="12" t="s">
        <v>25</v>
      </c>
    </row>
    <row customHeight="1" ht="33" r="435">
      <c r="B435" s="12">
        <f>HYPERLINK("https://gesdoc.uis.edu.co/share/page/folder-details?nodeRef=workspace://SpacesStore/331cb8cd-004b-4159-ad59-d539a5be6dd0","0020_2026000301_7970")</f>
      </c>
      <c r="C435" s="12" t="s">
        <v>307</v>
      </c>
      <c r="D435" s="13" t="s">
        <v>442</v>
      </c>
      <c r="E435" s="12" t="s">
        <v>494</v>
      </c>
      <c r="F435" s="12" t="s">
        <v>495</v>
      </c>
      <c r="G435" s="12" t="s">
        <v>832</v>
      </c>
      <c r="H435" s="12" t="s">
        <v>832</v>
      </c>
      <c r="I435" s="12" t="s">
        <v>25</v>
      </c>
      <c r="J435" s="12" t="s">
        <v>25</v>
      </c>
    </row>
    <row customHeight="1" ht="33" r="436">
      <c r="B436" s="12">
        <f>HYPERLINK("https://gesdoc.uis.edu.co/share/page/folder-details?nodeRef=workspace://SpacesStore/10dedeec-ae4d-4d2d-a6cf-717e3bcf57f0","2025000060_9702")</f>
      </c>
      <c r="C436" s="12" t="s">
        <v>25</v>
      </c>
      <c r="D436" s="13" t="s">
        <v>454</v>
      </c>
      <c r="E436" s="12" t="s">
        <v>494</v>
      </c>
      <c r="F436" s="12" t="s">
        <v>504</v>
      </c>
      <c r="G436" s="12" t="s">
        <v>833</v>
      </c>
      <c r="H436" s="12" t="s">
        <v>833</v>
      </c>
      <c r="I436" s="12" t="s">
        <v>25</v>
      </c>
      <c r="J436" s="12" t="s">
        <v>25</v>
      </c>
    </row>
    <row customHeight="1" ht="33" r="437">
      <c r="B437" s="12">
        <f>HYPERLINK("https://gesdoc.uis.edu.co/share/page/folder-details?nodeRef=workspace://SpacesStore/a6a66748-1138-4e88-b3d7-99a8031c6400","0298_2026000254_1468_EV049")</f>
      </c>
      <c r="C437" s="12" t="s">
        <v>308</v>
      </c>
      <c r="D437" s="13" t="s">
        <v>440</v>
      </c>
      <c r="E437" s="12" t="s">
        <v>494</v>
      </c>
      <c r="F437" s="12" t="s">
        <v>499</v>
      </c>
      <c r="G437" s="12" t="s">
        <v>834</v>
      </c>
      <c r="H437" s="12" t="s">
        <v>1161</v>
      </c>
      <c r="I437" s="12" t="s">
        <v>1256</v>
      </c>
      <c r="J437" s="12" t="s">
        <v>1263</v>
      </c>
    </row>
    <row customHeight="1" ht="33" r="438">
      <c r="B438" s="12">
        <f>HYPERLINK("https://gesdoc.uis.edu.co/share/page/folder-details?nodeRef=workspace://SpacesStore/4b2ca402-6a3c-4205-81ed-fe1a8a060df3","0018_2026002474_7016")</f>
      </c>
      <c r="C438" s="12" t="s">
        <v>309</v>
      </c>
      <c r="D438" s="13" t="s">
        <v>456</v>
      </c>
      <c r="E438" s="12" t="s">
        <v>494</v>
      </c>
      <c r="F438" s="12" t="s">
        <v>500</v>
      </c>
      <c r="G438" s="12" t="s">
        <v>835</v>
      </c>
      <c r="H438" s="12" t="s">
        <v>1161</v>
      </c>
      <c r="I438" s="12" t="s">
        <v>25</v>
      </c>
      <c r="J438" s="12" t="s">
        <v>25</v>
      </c>
    </row>
    <row customHeight="1" ht="33" r="439">
      <c r="B439" s="12">
        <f>HYPERLINK("https://gesdoc.uis.edu.co/share/page/folder-details?nodeRef=workspace://SpacesStore/06ffe0b9-cc79-444a-aff4-bdd1c9217edc","2025000566_9701")</f>
      </c>
      <c r="C439" s="12" t="s">
        <v>25</v>
      </c>
      <c r="D439" s="13" t="s">
        <v>454</v>
      </c>
      <c r="E439" s="12" t="s">
        <v>494</v>
      </c>
      <c r="F439" s="12" t="s">
        <v>504</v>
      </c>
      <c r="G439" s="12" t="s">
        <v>836</v>
      </c>
      <c r="H439" s="12" t="s">
        <v>836</v>
      </c>
      <c r="I439" s="12" t="s">
        <v>25</v>
      </c>
      <c r="J439" s="12" t="s">
        <v>25</v>
      </c>
    </row>
    <row customHeight="1" ht="33" r="440">
      <c r="B440" s="12">
        <f>HYPERLINK("https://gesdoc.uis.edu.co/share/page/folder-details?nodeRef=workspace://SpacesStore/7141568f-9882-41c0-80f2-e4c6aeda6a91","2025000565_9701")</f>
      </c>
      <c r="C440" s="12" t="s">
        <v>25</v>
      </c>
      <c r="D440" s="13" t="s">
        <v>454</v>
      </c>
      <c r="E440" s="12" t="s">
        <v>494</v>
      </c>
      <c r="F440" s="12" t="s">
        <v>504</v>
      </c>
      <c r="G440" s="12" t="s">
        <v>780</v>
      </c>
      <c r="H440" s="12" t="s">
        <v>836</v>
      </c>
      <c r="I440" s="12" t="s">
        <v>25</v>
      </c>
      <c r="J440" s="12" t="s">
        <v>25</v>
      </c>
    </row>
    <row customHeight="1" ht="33" r="441">
      <c r="B441" s="12">
        <f>HYPERLINK("https://gesdoc.uis.edu.co/share/page/folder-details?nodeRef=workspace://SpacesStore/e83d2cbe-3416-4e47-b3d4-abc88357f18b","2025000567_9701")</f>
      </c>
      <c r="C441" s="12" t="s">
        <v>25</v>
      </c>
      <c r="D441" s="13" t="s">
        <v>454</v>
      </c>
      <c r="E441" s="12" t="s">
        <v>494</v>
      </c>
      <c r="F441" s="12" t="s">
        <v>504</v>
      </c>
      <c r="G441" s="12" t="s">
        <v>836</v>
      </c>
      <c r="H441" s="12" t="s">
        <v>836</v>
      </c>
      <c r="I441" s="12" t="s">
        <v>25</v>
      </c>
      <c r="J441" s="12" t="s">
        <v>25</v>
      </c>
    </row>
    <row customHeight="1" ht="33" r="442">
      <c r="B442" s="12">
        <f>HYPERLINK("https://gesdoc.uis.edu.co/share/page/folder-details?nodeRef=workspace://SpacesStore/91e3b441-2605-4012-a226-e89679077608","2025000122_9701")</f>
      </c>
      <c r="C442" s="12" t="s">
        <v>25</v>
      </c>
      <c r="D442" s="13" t="s">
        <v>454</v>
      </c>
      <c r="E442" s="12" t="s">
        <v>494</v>
      </c>
      <c r="F442" s="12" t="s">
        <v>504</v>
      </c>
      <c r="G442" s="12" t="s">
        <v>776</v>
      </c>
      <c r="H442" s="12" t="s">
        <v>1162</v>
      </c>
      <c r="I442" s="12" t="s">
        <v>25</v>
      </c>
      <c r="J442" s="12" t="s">
        <v>25</v>
      </c>
    </row>
    <row customHeight="1" ht="33" r="443">
      <c r="B443" s="12">
        <f>HYPERLINK("https://gesdoc.uis.edu.co/share/page/folder-details?nodeRef=workspace://SpacesStore/bf6128ea-b7b9-43bd-bf71-e9f38e4d9bd2","2025000043_9701")</f>
      </c>
      <c r="C443" s="12" t="s">
        <v>25</v>
      </c>
      <c r="D443" s="13" t="s">
        <v>454</v>
      </c>
      <c r="E443" s="12" t="s">
        <v>494</v>
      </c>
      <c r="F443" s="12" t="s">
        <v>503</v>
      </c>
      <c r="G443" s="12" t="s">
        <v>837</v>
      </c>
      <c r="H443" s="12" t="s">
        <v>837</v>
      </c>
      <c r="I443" s="12" t="s">
        <v>25</v>
      </c>
      <c r="J443" s="12" t="s">
        <v>25</v>
      </c>
    </row>
    <row customHeight="1" ht="33" r="444">
      <c r="B444" s="12">
        <f>HYPERLINK("https://gesdoc.uis.edu.co/share/page/folder-details?nodeRef=workspace://SpacesStore/d0df91ea-8847-4022-92a2-376830935f35","2025001473_9701")</f>
      </c>
      <c r="C444" s="12" t="s">
        <v>25</v>
      </c>
      <c r="D444" s="13" t="s">
        <v>454</v>
      </c>
      <c r="E444" s="12" t="s">
        <v>494</v>
      </c>
      <c r="F444" s="12" t="s">
        <v>500</v>
      </c>
      <c r="G444" s="12" t="s">
        <v>838</v>
      </c>
      <c r="H444" s="12" t="s">
        <v>756</v>
      </c>
      <c r="I444" s="12" t="s">
        <v>25</v>
      </c>
      <c r="J444" s="12" t="s">
        <v>25</v>
      </c>
    </row>
    <row customHeight="1" ht="33" r="445">
      <c r="B445" s="12">
        <f>HYPERLINK("https://gesdoc.uis.edu.co/share/page/folder-details?nodeRef=workspace://SpacesStore/a7070d70-71d8-48ee-8d4b-0b0b06a77dcc","0234_2026011443_2240")</f>
      </c>
      <c r="C445" s="12" t="s">
        <v>310</v>
      </c>
      <c r="D445" s="13" t="s">
        <v>438</v>
      </c>
      <c r="E445" s="12" t="s">
        <v>494</v>
      </c>
      <c r="F445" s="12" t="s">
        <v>501</v>
      </c>
      <c r="G445" s="12" t="s">
        <v>769</v>
      </c>
      <c r="H445" s="12" t="s">
        <v>1163</v>
      </c>
      <c r="I445" s="12" t="s">
        <v>25</v>
      </c>
      <c r="J445" s="12" t="s">
        <v>25</v>
      </c>
    </row>
    <row customHeight="1" ht="33" r="446">
      <c r="B446" s="12">
        <f>HYPERLINK("https://gesdoc.uis.edu.co/share/page/folder-details?nodeRef=workspace://SpacesStore/f7776017-915c-418d-ae8b-b732eea45ae8","0018_2026002473_7442")</f>
      </c>
      <c r="C446" s="12" t="s">
        <v>311</v>
      </c>
      <c r="D446" s="13" t="s">
        <v>456</v>
      </c>
      <c r="E446" s="12" t="s">
        <v>494</v>
      </c>
      <c r="F446" s="12" t="s">
        <v>500</v>
      </c>
      <c r="G446" s="12" t="s">
        <v>839</v>
      </c>
      <c r="H446" s="12" t="s">
        <v>1164</v>
      </c>
      <c r="I446" s="12" t="s">
        <v>25</v>
      </c>
      <c r="J446" s="12" t="s">
        <v>25</v>
      </c>
    </row>
    <row customHeight="1" ht="33" r="447">
      <c r="B447" s="12">
        <f>HYPERLINK("https://gesdoc.uis.edu.co/share/page/folder-details?nodeRef=workspace://SpacesStore/d8fb5caf-442e-4c84-ad8e-a3b97463e12e","0020_2026000356_9350")</f>
      </c>
      <c r="C447" s="12" t="s">
        <v>312</v>
      </c>
      <c r="D447" s="13" t="s">
        <v>473</v>
      </c>
      <c r="E447" s="12" t="s">
        <v>494</v>
      </c>
      <c r="F447" s="12" t="s">
        <v>495</v>
      </c>
      <c r="G447" s="12" t="s">
        <v>840</v>
      </c>
      <c r="H447" s="12" t="s">
        <v>1165</v>
      </c>
      <c r="I447" s="12" t="s">
        <v>25</v>
      </c>
      <c r="J447" s="12" t="s">
        <v>25</v>
      </c>
    </row>
    <row customHeight="1" ht="33" r="448">
      <c r="B448" s="12">
        <f>HYPERLINK("https://gesdoc.uis.edu.co/share/page/folder-details?nodeRef=workspace://SpacesStore/ab787c92-d106-4828-906e-5acff798eef4","0020_2026000351_9799")</f>
      </c>
      <c r="C448" s="12" t="s">
        <v>313</v>
      </c>
      <c r="D448" s="13" t="s">
        <v>473</v>
      </c>
      <c r="E448" s="12" t="s">
        <v>494</v>
      </c>
      <c r="F448" s="12" t="s">
        <v>495</v>
      </c>
      <c r="G448" s="12" t="s">
        <v>841</v>
      </c>
      <c r="H448" s="12" t="s">
        <v>1166</v>
      </c>
      <c r="I448" s="12" t="s">
        <v>25</v>
      </c>
      <c r="J448" s="12" t="s">
        <v>25</v>
      </c>
    </row>
    <row customHeight="1" ht="33" r="449">
      <c r="B449" s="12">
        <f>HYPERLINK("https://gesdoc.uis.edu.co/share/page/folder-details?nodeRef=workspace://SpacesStore/62fa3ff1-cb7f-45b9-873a-03d292840fd6","0019_2026000107_3160")</f>
      </c>
      <c r="C449" s="12" t="s">
        <v>314</v>
      </c>
      <c r="D449" s="13" t="s">
        <v>440</v>
      </c>
      <c r="E449" s="12" t="s">
        <v>494</v>
      </c>
      <c r="F449" s="12" t="s">
        <v>498</v>
      </c>
      <c r="G449" s="12" t="s">
        <v>842</v>
      </c>
      <c r="H449" s="12" t="s">
        <v>1167</v>
      </c>
      <c r="I449" s="12" t="s">
        <v>25</v>
      </c>
      <c r="J449" s="12" t="s">
        <v>25</v>
      </c>
    </row>
    <row customHeight="1" ht="33" r="450">
      <c r="B450" s="12">
        <f>HYPERLINK("https://gesdoc.uis.edu.co/share/page/folder-details?nodeRef=workspace://SpacesStore/bd9f9568-afd5-4fec-adab-67408325f57d","0018_2026001169_7003")</f>
      </c>
      <c r="C450" s="12" t="s">
        <v>315</v>
      </c>
      <c r="D450" s="13" t="s">
        <v>452</v>
      </c>
      <c r="E450" s="12" t="s">
        <v>494</v>
      </c>
      <c r="F450" s="12" t="s">
        <v>500</v>
      </c>
      <c r="G450" s="12" t="s">
        <v>843</v>
      </c>
      <c r="H450" s="12" t="s">
        <v>1168</v>
      </c>
      <c r="I450" s="12" t="s">
        <v>25</v>
      </c>
      <c r="J450" s="12" t="s">
        <v>25</v>
      </c>
    </row>
    <row customHeight="1" ht="33" r="451">
      <c r="B451" s="12">
        <f>HYPERLINK("https://gesdoc.uis.edu.co/share/page/folder-details?nodeRef=workspace://SpacesStore/fd16f168-272e-4d97-ab7d-ae76f9837c2c","0270_2026000733_9701")</f>
      </c>
      <c r="C451" s="12" t="s">
        <v>316</v>
      </c>
      <c r="D451" s="13" t="s">
        <v>454</v>
      </c>
      <c r="E451" s="12" t="s">
        <v>494</v>
      </c>
      <c r="F451" s="12" t="s">
        <v>504</v>
      </c>
      <c r="G451" s="12" t="s">
        <v>844</v>
      </c>
      <c r="H451" s="12" t="s">
        <v>844</v>
      </c>
      <c r="I451" s="12" t="s">
        <v>25</v>
      </c>
      <c r="J451" s="12" t="s">
        <v>25</v>
      </c>
    </row>
    <row customHeight="1" ht="33" r="452">
      <c r="B452" s="12">
        <f>HYPERLINK("https://gesdoc.uis.edu.co/share/page/folder-details?nodeRef=workspace://SpacesStore/f1e35e6c-9d9e-4dce-b91a-fdc20fe18b9c","0020_2026000272_3112")</f>
      </c>
      <c r="C452" s="12" t="s">
        <v>317</v>
      </c>
      <c r="D452" s="13" t="s">
        <v>439</v>
      </c>
      <c r="E452" s="12" t="s">
        <v>494</v>
      </c>
      <c r="F452" s="12" t="s">
        <v>495</v>
      </c>
      <c r="G452" s="12" t="s">
        <v>845</v>
      </c>
      <c r="H452" s="12" t="s">
        <v>1169</v>
      </c>
      <c r="I452" s="12" t="s">
        <v>25</v>
      </c>
      <c r="J452" s="12" t="s">
        <v>25</v>
      </c>
    </row>
    <row customHeight="1" ht="33" r="453">
      <c r="B453" s="12">
        <f>HYPERLINK("https://gesdoc.uis.edu.co/share/page/folder-details?nodeRef=workspace://SpacesStore/f17cd24e-8c69-4199-bf03-679464055c6a","0270_2026000736_3160_EV035")</f>
      </c>
      <c r="C453" s="12" t="s">
        <v>318</v>
      </c>
      <c r="D453" s="13" t="s">
        <v>440</v>
      </c>
      <c r="E453" s="12" t="s">
        <v>494</v>
      </c>
      <c r="F453" s="12" t="s">
        <v>499</v>
      </c>
      <c r="G453" s="12" t="s">
        <v>846</v>
      </c>
      <c r="H453" s="12" t="s">
        <v>1170</v>
      </c>
      <c r="I453" s="12" t="s">
        <v>1258</v>
      </c>
      <c r="J453" s="12" t="s">
        <v>1268</v>
      </c>
    </row>
    <row customHeight="1" ht="33" r="454">
      <c r="B454" s="12">
        <f>HYPERLINK("https://gesdoc.uis.edu.co/share/page/folder-details?nodeRef=workspace://SpacesStore/029c9e78-e675-4456-8159-520e2dd18ed2","0374_2026000030_4516")</f>
      </c>
      <c r="C454" s="12" t="s">
        <v>319</v>
      </c>
      <c r="D454" s="13" t="s">
        <v>439</v>
      </c>
      <c r="E454" s="12" t="s">
        <v>494</v>
      </c>
      <c r="F454" s="12" t="s">
        <v>497</v>
      </c>
      <c r="G454" s="12" t="s">
        <v>847</v>
      </c>
      <c r="H454" s="12" t="s">
        <v>847</v>
      </c>
      <c r="I454" s="12" t="s">
        <v>25</v>
      </c>
      <c r="J454" s="12" t="s">
        <v>25</v>
      </c>
    </row>
    <row customHeight="1" ht="33" r="455">
      <c r="B455" s="12">
        <f>HYPERLINK("https://gesdoc.uis.edu.co/share/page/folder-details?nodeRef=workspace://SpacesStore/baf02f0b-a817-4ec3-970d-6ae85d6bb23b","0374_2026000031_4516")</f>
      </c>
      <c r="C455" s="12" t="s">
        <v>320</v>
      </c>
      <c r="D455" s="13" t="s">
        <v>439</v>
      </c>
      <c r="E455" s="12" t="s">
        <v>494</v>
      </c>
      <c r="F455" s="12" t="s">
        <v>497</v>
      </c>
      <c r="G455" s="12" t="s">
        <v>848</v>
      </c>
      <c r="H455" s="12" t="s">
        <v>1171</v>
      </c>
      <c r="I455" s="12" t="s">
        <v>25</v>
      </c>
      <c r="J455" s="12" t="s">
        <v>25</v>
      </c>
    </row>
    <row customHeight="1" ht="33" r="456">
      <c r="B456" s="12">
        <f>HYPERLINK("https://gesdoc.uis.edu.co/share/page/folder-details?nodeRef=workspace://SpacesStore/9e146abe-ab70-4e1f-a09e-523a507ae04e","2025000159_9702")</f>
      </c>
      <c r="C456" s="12" t="s">
        <v>25</v>
      </c>
      <c r="D456" s="13" t="s">
        <v>454</v>
      </c>
      <c r="E456" s="12" t="s">
        <v>494</v>
      </c>
      <c r="F456" s="12" t="s">
        <v>504</v>
      </c>
      <c r="G456" s="12" t="s">
        <v>849</v>
      </c>
      <c r="H456" s="12" t="s">
        <v>849</v>
      </c>
      <c r="I456" s="12" t="s">
        <v>25</v>
      </c>
      <c r="J456" s="12" t="s">
        <v>25</v>
      </c>
    </row>
    <row customHeight="1" ht="33" r="457">
      <c r="B457" s="12">
        <f>HYPERLINK("https://gesdoc.uis.edu.co/share/page/folder-details?nodeRef=workspace://SpacesStore/3ea4f2d5-151a-4735-bb7e-0771f27a50ad","0018_2026002471_7849")</f>
      </c>
      <c r="C457" s="12" t="s">
        <v>321</v>
      </c>
      <c r="D457" s="13" t="s">
        <v>468</v>
      </c>
      <c r="E457" s="12" t="s">
        <v>494</v>
      </c>
      <c r="F457" s="12" t="s">
        <v>500</v>
      </c>
      <c r="G457" s="12" t="s">
        <v>850</v>
      </c>
      <c r="H457" s="12" t="s">
        <v>1172</v>
      </c>
      <c r="I457" s="12" t="s">
        <v>25</v>
      </c>
      <c r="J457" s="12" t="s">
        <v>25</v>
      </c>
    </row>
    <row customHeight="1" ht="33" r="458">
      <c r="B458" s="12">
        <f>HYPERLINK("https://gesdoc.uis.edu.co/share/page/folder-details?nodeRef=workspace://SpacesStore/f38487a4-4149-438e-93e4-9b71ee0253bc","0019_2026000094_1464")</f>
      </c>
      <c r="C458" s="12" t="s">
        <v>322</v>
      </c>
      <c r="D458" s="13" t="s">
        <v>440</v>
      </c>
      <c r="E458" s="12" t="s">
        <v>494</v>
      </c>
      <c r="F458" s="12" t="s">
        <v>498</v>
      </c>
      <c r="G458" s="12" t="s">
        <v>851</v>
      </c>
      <c r="H458" s="12" t="s">
        <v>1173</v>
      </c>
      <c r="I458" s="12" t="s">
        <v>25</v>
      </c>
      <c r="J458" s="12" t="s">
        <v>25</v>
      </c>
    </row>
    <row customHeight="1" ht="33" r="459">
      <c r="B459" s="12">
        <f>HYPERLINK("https://gesdoc.uis.edu.co/share/page/folder-details?nodeRef=workspace://SpacesStore/66b99101-f354-4377-859b-9c1ac70be809","0374_2026000028_7016")</f>
      </c>
      <c r="C459" s="12" t="s">
        <v>323</v>
      </c>
      <c r="D459" s="13" t="s">
        <v>439</v>
      </c>
      <c r="E459" s="12" t="s">
        <v>494</v>
      </c>
      <c r="F459" s="12" t="s">
        <v>497</v>
      </c>
      <c r="G459" s="12" t="s">
        <v>852</v>
      </c>
      <c r="H459" s="12" t="s">
        <v>1174</v>
      </c>
      <c r="I459" s="12" t="s">
        <v>25</v>
      </c>
      <c r="J459" s="12" t="s">
        <v>25</v>
      </c>
    </row>
    <row customHeight="1" ht="33" r="460">
      <c r="B460" s="12">
        <f>HYPERLINK("https://gesdoc.uis.edu.co/share/page/folder-details?nodeRef=workspace://SpacesStore/fb099b61-8a45-4997-bc54-32012ea7d5b3","2025000178_9701")</f>
      </c>
      <c r="C460" s="12" t="s">
        <v>25</v>
      </c>
      <c r="D460" s="13" t="s">
        <v>454</v>
      </c>
      <c r="E460" s="12" t="s">
        <v>494</v>
      </c>
      <c r="F460" s="12" t="s">
        <v>504</v>
      </c>
      <c r="G460" s="12" t="s">
        <v>853</v>
      </c>
      <c r="H460" s="12" t="s">
        <v>853</v>
      </c>
      <c r="I460" s="12" t="s">
        <v>25</v>
      </c>
      <c r="J460" s="12" t="s">
        <v>25</v>
      </c>
    </row>
    <row customHeight="1" ht="33" r="461">
      <c r="B461" s="12">
        <f>HYPERLINK("https://gesdoc.uis.edu.co/share/page/folder-details?nodeRef=workspace://SpacesStore/8fae8969-729b-448a-8f0b-6991a95cc85e","18_2026002459_7068")</f>
      </c>
      <c r="C461" s="12" t="s">
        <v>25</v>
      </c>
      <c r="D461" s="13" t="s">
        <v>448</v>
      </c>
      <c r="E461" s="12" t="s">
        <v>494</v>
      </c>
      <c r="F461" s="12" t="s">
        <v>500</v>
      </c>
      <c r="G461" s="12" t="s">
        <v>608</v>
      </c>
      <c r="H461" s="12" t="s">
        <v>854</v>
      </c>
      <c r="I461" s="12" t="s">
        <v>25</v>
      </c>
      <c r="J461" s="12" t="s">
        <v>25</v>
      </c>
    </row>
    <row customHeight="1" ht="33" r="462">
      <c r="B462" s="12">
        <f>HYPERLINK("https://gesdoc.uis.edu.co/share/page/folder-details?nodeRef=workspace://SpacesStore/4c910ca0-3e7f-4090-9988-9dc655a1e0ca","18_2026002463_7068")</f>
      </c>
      <c r="C462" s="12" t="s">
        <v>25</v>
      </c>
      <c r="D462" s="13" t="s">
        <v>448</v>
      </c>
      <c r="E462" s="12" t="s">
        <v>494</v>
      </c>
      <c r="F462" s="12" t="s">
        <v>500</v>
      </c>
      <c r="G462" s="12" t="s">
        <v>854</v>
      </c>
      <c r="H462" s="12" t="s">
        <v>854</v>
      </c>
      <c r="I462" s="12" t="s">
        <v>25</v>
      </c>
      <c r="J462" s="12" t="s">
        <v>25</v>
      </c>
    </row>
    <row customHeight="1" ht="33" r="463">
      <c r="B463" s="12">
        <f>HYPERLINK("https://gesdoc.uis.edu.co/share/page/folder-details?nodeRef=workspace://SpacesStore/0eb231ae-540a-4bf1-a034-baaab11798f7","0234_2026011519_2240")</f>
      </c>
      <c r="C463" s="12" t="s">
        <v>324</v>
      </c>
      <c r="D463" s="13" t="s">
        <v>438</v>
      </c>
      <c r="E463" s="12" t="s">
        <v>494</v>
      </c>
      <c r="F463" s="12" t="s">
        <v>501</v>
      </c>
      <c r="G463" s="12" t="s">
        <v>855</v>
      </c>
      <c r="H463" s="12" t="s">
        <v>855</v>
      </c>
      <c r="I463" s="12" t="s">
        <v>25</v>
      </c>
      <c r="J463" s="12" t="s">
        <v>25</v>
      </c>
    </row>
    <row customHeight="1" ht="33" r="464">
      <c r="B464" s="12">
        <f>HYPERLINK("https://gesdoc.uis.edu.co/share/page/folder-details?nodeRef=workspace://SpacesStore/52c36e59-d599-4a4a-8599-a1be431e9316","0020_2026000314_9198")</f>
      </c>
      <c r="C464" s="12" t="s">
        <v>325</v>
      </c>
      <c r="D464" s="13" t="s">
        <v>444</v>
      </c>
      <c r="E464" s="12" t="s">
        <v>494</v>
      </c>
      <c r="F464" s="12" t="s">
        <v>495</v>
      </c>
      <c r="G464" s="12" t="s">
        <v>856</v>
      </c>
      <c r="H464" s="12" t="s">
        <v>855</v>
      </c>
      <c r="I464" s="12" t="s">
        <v>25</v>
      </c>
      <c r="J464" s="12" t="s">
        <v>25</v>
      </c>
    </row>
    <row customHeight="1" ht="33" r="465">
      <c r="B465" s="12">
        <f>HYPERLINK("https://gesdoc.uis.edu.co/share/page/folder-details?nodeRef=workspace://SpacesStore/d03e5435-fa82-4f84-a2f8-39b26c9127d0","0020_2026000284_1468")</f>
      </c>
      <c r="C465" s="12" t="s">
        <v>326</v>
      </c>
      <c r="D465" s="13" t="s">
        <v>440</v>
      </c>
      <c r="E465" s="12" t="s">
        <v>494</v>
      </c>
      <c r="F465" s="12" t="s">
        <v>495</v>
      </c>
      <c r="G465" s="12" t="s">
        <v>857</v>
      </c>
      <c r="H465" s="12" t="s">
        <v>1175</v>
      </c>
      <c r="I465" s="12" t="s">
        <v>25</v>
      </c>
      <c r="J465" s="12" t="s">
        <v>25</v>
      </c>
    </row>
    <row customHeight="1" ht="33" r="466">
      <c r="B466" s="12">
        <f>HYPERLINK("https://gesdoc.uis.edu.co/share/page/folder-details?nodeRef=workspace://SpacesStore/f6b4deeb-ce8e-471b-bf5a-b2a91fecf6b0","0018_2026002427_7983")</f>
      </c>
      <c r="C466" s="12" t="s">
        <v>327</v>
      </c>
      <c r="D466" s="13" t="s">
        <v>446</v>
      </c>
      <c r="E466" s="12" t="s">
        <v>494</v>
      </c>
      <c r="F466" s="12" t="s">
        <v>500</v>
      </c>
      <c r="G466" s="12" t="s">
        <v>858</v>
      </c>
      <c r="H466" s="12" t="s">
        <v>858</v>
      </c>
      <c r="I466" s="12" t="s">
        <v>25</v>
      </c>
      <c r="J466" s="12" t="s">
        <v>25</v>
      </c>
    </row>
    <row customHeight="1" ht="33" r="467">
      <c r="B467" s="12">
        <f>HYPERLINK("https://gesdoc.uis.edu.co/share/page/folder-details?nodeRef=workspace://SpacesStore/3305ed7d-785a-4bd8-8479-78267186471e","0018_2026000111_7983")</f>
      </c>
      <c r="C467" s="12" t="s">
        <v>328</v>
      </c>
      <c r="D467" s="13" t="s">
        <v>446</v>
      </c>
      <c r="E467" s="12" t="s">
        <v>494</v>
      </c>
      <c r="F467" s="12" t="s">
        <v>500</v>
      </c>
      <c r="G467" s="12" t="s">
        <v>859</v>
      </c>
      <c r="H467" s="12" t="s">
        <v>1176</v>
      </c>
      <c r="I467" s="12" t="s">
        <v>25</v>
      </c>
      <c r="J467" s="12" t="s">
        <v>25</v>
      </c>
    </row>
    <row customHeight="1" ht="33" r="468">
      <c r="B468" s="12">
        <f>HYPERLINK("https://gesdoc.uis.edu.co/share/page/folder-details?nodeRef=workspace://SpacesStore/ae0dd79d-024c-4c4a-b87d-7aeffec2a9cd","0018_2026002464_7064")</f>
      </c>
      <c r="C468" s="12" t="s">
        <v>329</v>
      </c>
      <c r="D468" s="13" t="s">
        <v>463</v>
      </c>
      <c r="E468" s="12" t="s">
        <v>494</v>
      </c>
      <c r="F468" s="12" t="s">
        <v>500</v>
      </c>
      <c r="G468" s="12" t="s">
        <v>860</v>
      </c>
      <c r="H468" s="12" t="s">
        <v>1177</v>
      </c>
      <c r="I468" s="12" t="s">
        <v>25</v>
      </c>
      <c r="J468" s="12" t="s">
        <v>25</v>
      </c>
    </row>
    <row customHeight="1" ht="33" r="469">
      <c r="B469" s="12">
        <f>HYPERLINK("https://gesdoc.uis.edu.co/share/page/folder-details?nodeRef=workspace://SpacesStore/a9bb845c-81a7-41c9-b24a-5ff97cd05fd3","2026011202_7930")</f>
      </c>
      <c r="C469" s="12" t="s">
        <v>25</v>
      </c>
      <c r="D469" s="13" t="s">
        <v>464</v>
      </c>
      <c r="E469" s="12" t="s">
        <v>494</v>
      </c>
      <c r="F469" s="12" t="s">
        <v>501</v>
      </c>
      <c r="G469" s="12" t="s">
        <v>728</v>
      </c>
      <c r="H469" s="12" t="s">
        <v>1178</v>
      </c>
      <c r="I469" s="12" t="s">
        <v>25</v>
      </c>
      <c r="J469" s="12" t="s">
        <v>25</v>
      </c>
    </row>
    <row customHeight="1" ht="33" r="470">
      <c r="B470" s="12">
        <f>HYPERLINK("https://gesdoc.uis.edu.co/share/page/folder-details?nodeRef=workspace://SpacesStore/2cbbbf7c-0825-438c-b1c9-56497a18fa9b","0018_2026002493_7025")</f>
      </c>
      <c r="C470" s="12" t="s">
        <v>330</v>
      </c>
      <c r="D470" s="13" t="s">
        <v>446</v>
      </c>
      <c r="E470" s="12" t="s">
        <v>494</v>
      </c>
      <c r="F470" s="12" t="s">
        <v>500</v>
      </c>
      <c r="G470" s="12" t="s">
        <v>861</v>
      </c>
      <c r="H470" s="12" t="s">
        <v>1179</v>
      </c>
      <c r="I470" s="12" t="s">
        <v>25</v>
      </c>
      <c r="J470" s="12" t="s">
        <v>25</v>
      </c>
    </row>
    <row customHeight="1" ht="33" r="471">
      <c r="B471" s="12">
        <f>HYPERLINK("https://gesdoc.uis.edu.co/share/page/folder-details?nodeRef=workspace://SpacesStore/8a8da9fa-78dd-4340-b9bd-d618988c2e97","0020_2026000368_6290")</f>
      </c>
      <c r="C471" s="12" t="s">
        <v>331</v>
      </c>
      <c r="D471" s="13" t="s">
        <v>459</v>
      </c>
      <c r="E471" s="12" t="s">
        <v>494</v>
      </c>
      <c r="F471" s="12" t="s">
        <v>495</v>
      </c>
      <c r="G471" s="12" t="s">
        <v>862</v>
      </c>
      <c r="H471" s="12" t="s">
        <v>862</v>
      </c>
      <c r="I471" s="12" t="s">
        <v>25</v>
      </c>
      <c r="J471" s="12" t="s">
        <v>25</v>
      </c>
    </row>
    <row customHeight="1" ht="33" r="472">
      <c r="B472" s="12">
        <f>HYPERLINK("https://gesdoc.uis.edu.co/share/page/folder-details?nodeRef=workspace://SpacesStore/8861d0f2-ad2c-40b5-82f4-1a7d5cb87d41","0018_2026002403_9285")</f>
      </c>
      <c r="C472" s="12" t="s">
        <v>332</v>
      </c>
      <c r="D472" s="13" t="s">
        <v>479</v>
      </c>
      <c r="E472" s="12" t="s">
        <v>494</v>
      </c>
      <c r="F472" s="12" t="s">
        <v>500</v>
      </c>
      <c r="G472" s="12" t="s">
        <v>863</v>
      </c>
      <c r="H472" s="12" t="s">
        <v>863</v>
      </c>
      <c r="I472" s="12" t="s">
        <v>25</v>
      </c>
      <c r="J472" s="12" t="s">
        <v>25</v>
      </c>
    </row>
    <row customHeight="1" ht="33" r="473">
      <c r="B473" s="12">
        <f>HYPERLINK("https://gesdoc.uis.edu.co/share/page/folder-details?nodeRef=workspace://SpacesStore/d2805c66-1cc3-4774-8d49-a95c6b72cfe4","0374_2026000032_7061")</f>
      </c>
      <c r="C473" s="12" t="s">
        <v>333</v>
      </c>
      <c r="D473" s="13" t="s">
        <v>439</v>
      </c>
      <c r="E473" s="12" t="s">
        <v>494</v>
      </c>
      <c r="F473" s="12" t="s">
        <v>497</v>
      </c>
      <c r="G473" s="12" t="s">
        <v>864</v>
      </c>
      <c r="H473" s="12" t="s">
        <v>1180</v>
      </c>
      <c r="I473" s="12" t="s">
        <v>25</v>
      </c>
      <c r="J473" s="12" t="s">
        <v>25</v>
      </c>
    </row>
    <row customHeight="1" ht="33" r="474">
      <c r="B474" s="12">
        <f>HYPERLINK("https://gesdoc.uis.edu.co/share/page/folder-details?nodeRef=workspace://SpacesStore/9ffb22f4-ad27-4c4c-9fd9-c0265985af29","0019_2026000114_7898")</f>
      </c>
      <c r="C474" s="12" t="s">
        <v>334</v>
      </c>
      <c r="D474" s="13" t="s">
        <v>440</v>
      </c>
      <c r="E474" s="12" t="s">
        <v>494</v>
      </c>
      <c r="F474" s="12" t="s">
        <v>498</v>
      </c>
      <c r="G474" s="12" t="s">
        <v>865</v>
      </c>
      <c r="H474" s="12" t="s">
        <v>1181</v>
      </c>
      <c r="I474" s="12" t="s">
        <v>25</v>
      </c>
      <c r="J474" s="12" t="s">
        <v>25</v>
      </c>
    </row>
    <row customHeight="1" ht="33" r="475">
      <c r="B475" s="12">
        <f>HYPERLINK("https://gesdoc.uis.edu.co/share/page/folder-details?nodeRef=workspace://SpacesStore/76c66c90-727c-4321-b5b9-7d0dffd5db84","0018_2026002392_4518")</f>
      </c>
      <c r="C475" s="12" t="s">
        <v>335</v>
      </c>
      <c r="D475" s="13" t="s">
        <v>444</v>
      </c>
      <c r="E475" s="12" t="s">
        <v>494</v>
      </c>
      <c r="F475" s="12" t="s">
        <v>500</v>
      </c>
      <c r="G475" s="12" t="s">
        <v>866</v>
      </c>
      <c r="H475" s="12" t="s">
        <v>1182</v>
      </c>
      <c r="I475" s="12" t="s">
        <v>25</v>
      </c>
      <c r="J475" s="12" t="s">
        <v>25</v>
      </c>
    </row>
    <row customHeight="1" ht="33" r="476">
      <c r="B476" s="12">
        <f>HYPERLINK("https://gesdoc.uis.edu.co/share/page/folder-details?nodeRef=workspace://SpacesStore/01a9da04-ea68-4b6f-b4d5-ac38a187ce6d","0018_2026002455_7865")</f>
      </c>
      <c r="C476" s="12" t="s">
        <v>336</v>
      </c>
      <c r="D476" s="13" t="s">
        <v>480</v>
      </c>
      <c r="E476" s="12" t="s">
        <v>494</v>
      </c>
      <c r="F476" s="12" t="s">
        <v>500</v>
      </c>
      <c r="G476" s="12" t="s">
        <v>867</v>
      </c>
      <c r="H476" s="12" t="s">
        <v>867</v>
      </c>
      <c r="I476" s="12" t="s">
        <v>25</v>
      </c>
      <c r="J476" s="12" t="s">
        <v>25</v>
      </c>
    </row>
    <row customHeight="1" ht="33" r="477">
      <c r="B477" s="12">
        <f>HYPERLINK("https://gesdoc.uis.edu.co/share/page/folder-details?nodeRef=workspace://SpacesStore/1b39e062-baee-4c0f-ad5b-e32fff1ae184","0018_2026002489_7916")</f>
      </c>
      <c r="C477" s="12" t="s">
        <v>337</v>
      </c>
      <c r="D477" s="13" t="s">
        <v>448</v>
      </c>
      <c r="E477" s="12" t="s">
        <v>494</v>
      </c>
      <c r="F477" s="12" t="s">
        <v>500</v>
      </c>
      <c r="G477" s="12" t="s">
        <v>868</v>
      </c>
      <c r="H477" s="12" t="s">
        <v>1183</v>
      </c>
      <c r="I477" s="12" t="s">
        <v>25</v>
      </c>
      <c r="J477" s="12" t="s">
        <v>25</v>
      </c>
    </row>
    <row customHeight="1" ht="33" r="478">
      <c r="B478" s="12">
        <f>HYPERLINK("https://gesdoc.uis.edu.co/share/page/folder-details?nodeRef=workspace://SpacesStore/b6dee279-d165-4b8c-a47a-19cd696ac4bc","2026011696_2250")</f>
      </c>
      <c r="C478" s="12" t="s">
        <v>25</v>
      </c>
      <c r="D478" s="13" t="s">
        <v>464</v>
      </c>
      <c r="E478" s="12" t="s">
        <v>494</v>
      </c>
      <c r="F478" s="12" t="s">
        <v>501</v>
      </c>
      <c r="G478" s="12" t="s">
        <v>869</v>
      </c>
      <c r="H478" s="12" t="s">
        <v>869</v>
      </c>
      <c r="I478" s="12" t="s">
        <v>25</v>
      </c>
      <c r="J478" s="12" t="s">
        <v>25</v>
      </c>
    </row>
    <row customHeight="1" ht="33" r="479">
      <c r="B479" s="12">
        <f>HYPERLINK("https://gesdoc.uis.edu.co/share/page/folder-details?nodeRef=workspace://SpacesStore/2d405af6-5dbd-4300-8f5b-2b709bebc96d","2026011698_2250")</f>
      </c>
      <c r="C479" s="12" t="s">
        <v>25</v>
      </c>
      <c r="D479" s="13" t="s">
        <v>464</v>
      </c>
      <c r="E479" s="12" t="s">
        <v>494</v>
      </c>
      <c r="F479" s="12" t="s">
        <v>501</v>
      </c>
      <c r="G479" s="12" t="s">
        <v>869</v>
      </c>
      <c r="H479" s="12" t="s">
        <v>869</v>
      </c>
      <c r="I479" s="12" t="s">
        <v>25</v>
      </c>
      <c r="J479" s="12" t="s">
        <v>25</v>
      </c>
    </row>
    <row customHeight="1" ht="33" r="480">
      <c r="B480" s="12">
        <f>HYPERLINK("https://gesdoc.uis.edu.co/share/page/folder-details?nodeRef=workspace://SpacesStore/6e55437b-8a0a-4866-a960-50d5f58f1cdf","0018_2026002496_7810")</f>
      </c>
      <c r="C480" s="12" t="s">
        <v>338</v>
      </c>
      <c r="D480" s="13" t="s">
        <v>477</v>
      </c>
      <c r="E480" s="12" t="s">
        <v>494</v>
      </c>
      <c r="F480" s="12" t="s">
        <v>500</v>
      </c>
      <c r="G480" s="12" t="s">
        <v>870</v>
      </c>
      <c r="H480" s="12" t="s">
        <v>1184</v>
      </c>
      <c r="I480" s="12" t="s">
        <v>25</v>
      </c>
      <c r="J480" s="12" t="s">
        <v>25</v>
      </c>
    </row>
    <row customHeight="1" ht="33" r="481">
      <c r="B481" s="12">
        <f>HYPERLINK("https://gesdoc.uis.edu.co/share/page/folder-details?nodeRef=workspace://SpacesStore/22fcedd0-0b2b-420c-be86-471e58c452d3","0270_2026000265_3190")</f>
      </c>
      <c r="C481" s="12" t="s">
        <v>339</v>
      </c>
      <c r="D481" s="13" t="s">
        <v>481</v>
      </c>
      <c r="E481" s="12" t="s">
        <v>494</v>
      </c>
      <c r="F481" s="12" t="s">
        <v>495</v>
      </c>
      <c r="G481" s="12" t="s">
        <v>871</v>
      </c>
      <c r="H481" s="12" t="s">
        <v>1185</v>
      </c>
      <c r="I481" s="12" t="s">
        <v>25</v>
      </c>
      <c r="J481" s="12" t="s">
        <v>25</v>
      </c>
    </row>
    <row customHeight="1" ht="33" r="482">
      <c r="B482" s="12">
        <f>HYPERLINK("https://gesdoc.uis.edu.co/share/page/folder-details?nodeRef=workspace://SpacesStore/797fbbe0-eac7-466b-b323-cd9bf6cad5c3","0020_2026000307_7970")</f>
      </c>
      <c r="C482" s="12" t="s">
        <v>340</v>
      </c>
      <c r="D482" s="13" t="s">
        <v>442</v>
      </c>
      <c r="E482" s="12" t="s">
        <v>494</v>
      </c>
      <c r="F482" s="12" t="s">
        <v>495</v>
      </c>
      <c r="G482" s="12" t="s">
        <v>872</v>
      </c>
      <c r="H482" s="12" t="s">
        <v>872</v>
      </c>
      <c r="I482" s="12" t="s">
        <v>25</v>
      </c>
      <c r="J482" s="12" t="s">
        <v>25</v>
      </c>
    </row>
    <row customHeight="1" ht="33" r="483">
      <c r="B483" s="12">
        <f>HYPERLINK("https://gesdoc.uis.edu.co/share/page/folder-details?nodeRef=workspace://SpacesStore/bed24ea9-f10d-4ab5-8692-d0e717d55a74","0020_2026000327_7930")</f>
      </c>
      <c r="C483" s="12" t="s">
        <v>341</v>
      </c>
      <c r="D483" s="13" t="s">
        <v>464</v>
      </c>
      <c r="E483" s="12" t="s">
        <v>494</v>
      </c>
      <c r="F483" s="12" t="s">
        <v>495</v>
      </c>
      <c r="G483" s="12" t="s">
        <v>873</v>
      </c>
      <c r="H483" s="12" t="s">
        <v>1186</v>
      </c>
      <c r="I483" s="12" t="s">
        <v>25</v>
      </c>
      <c r="J483" s="12" t="s">
        <v>25</v>
      </c>
    </row>
    <row customHeight="1" ht="33" r="484">
      <c r="B484" s="12">
        <f>HYPERLINK("https://gesdoc.uis.edu.co/share/page/folder-details?nodeRef=workspace://SpacesStore/614e75da-3639-47ed-9b80-5ee282289fda","0018_2026002335_7009")</f>
      </c>
      <c r="C484" s="12" t="s">
        <v>342</v>
      </c>
      <c r="D484" s="13" t="s">
        <v>471</v>
      </c>
      <c r="E484" s="12" t="s">
        <v>494</v>
      </c>
      <c r="F484" s="12" t="s">
        <v>500</v>
      </c>
      <c r="G484" s="12" t="s">
        <v>874</v>
      </c>
      <c r="H484" s="12" t="s">
        <v>874</v>
      </c>
      <c r="I484" s="12" t="s">
        <v>25</v>
      </c>
      <c r="J484" s="12" t="s">
        <v>25</v>
      </c>
    </row>
    <row customHeight="1" ht="33" r="485">
      <c r="B485" s="12">
        <f>HYPERLINK("https://gesdoc.uis.edu.co/share/page/folder-details?nodeRef=workspace://SpacesStore/20de2c6a-a824-4f05-9e72-ca0622f251a9","0020_2026000318_7017")</f>
      </c>
      <c r="C485" s="12" t="s">
        <v>343</v>
      </c>
      <c r="D485" s="13" t="s">
        <v>468</v>
      </c>
      <c r="E485" s="12" t="s">
        <v>494</v>
      </c>
      <c r="F485" s="12" t="s">
        <v>495</v>
      </c>
      <c r="G485" s="12" t="s">
        <v>875</v>
      </c>
      <c r="H485" s="12" t="s">
        <v>1187</v>
      </c>
      <c r="I485" s="12" t="s">
        <v>25</v>
      </c>
      <c r="J485" s="12" t="s">
        <v>25</v>
      </c>
    </row>
    <row customHeight="1" ht="33" r="486">
      <c r="B486" s="12">
        <f>HYPERLINK("https://gesdoc.uis.edu.co/share/page/folder-details?nodeRef=workspace://SpacesStore/99bc8497-a98f-47c6-a88a-15b9faef47f7","0018_2026002467 _7916")</f>
      </c>
      <c r="C486" s="12" t="s">
        <v>344</v>
      </c>
      <c r="D486" s="13" t="s">
        <v>448</v>
      </c>
      <c r="E486" s="12" t="s">
        <v>494</v>
      </c>
      <c r="F486" s="12" t="s">
        <v>500</v>
      </c>
      <c r="G486" s="12" t="s">
        <v>876</v>
      </c>
      <c r="H486" s="12" t="s">
        <v>876</v>
      </c>
      <c r="I486" s="12" t="s">
        <v>25</v>
      </c>
      <c r="J486" s="12" t="s">
        <v>25</v>
      </c>
    </row>
    <row customHeight="1" ht="33" r="487">
      <c r="B487" s="12">
        <f>HYPERLINK("https://gesdoc.uis.edu.co/share/page/folder-details?nodeRef=workspace://SpacesStore/21e2ab7c-3106-49c4-bcce-0cdd43583576","0018_2026002407_9285")</f>
      </c>
      <c r="C487" s="12" t="s">
        <v>345</v>
      </c>
      <c r="D487" s="13" t="s">
        <v>479</v>
      </c>
      <c r="E487" s="12" t="s">
        <v>494</v>
      </c>
      <c r="F487" s="12" t="s">
        <v>500</v>
      </c>
      <c r="G487" s="12" t="s">
        <v>877</v>
      </c>
      <c r="H487" s="12" t="s">
        <v>877</v>
      </c>
      <c r="I487" s="12" t="s">
        <v>25</v>
      </c>
      <c r="J487" s="12" t="s">
        <v>25</v>
      </c>
    </row>
    <row customHeight="1" ht="33" r="488">
      <c r="B488" s="12">
        <f>HYPERLINK("https://gesdoc.uis.edu.co/share/page/folder-details?nodeRef=workspace://SpacesStore/4fed4720-fa6a-49de-8aa4-2a3a7e5a4033","0020_2026000331_7886")</f>
      </c>
      <c r="C488" s="12" t="s">
        <v>346</v>
      </c>
      <c r="D488" s="13" t="s">
        <v>444</v>
      </c>
      <c r="E488" s="12" t="s">
        <v>494</v>
      </c>
      <c r="F488" s="12" t="s">
        <v>495</v>
      </c>
      <c r="G488" s="12" t="s">
        <v>878</v>
      </c>
      <c r="H488" s="12" t="s">
        <v>1188</v>
      </c>
      <c r="I488" s="12" t="s">
        <v>25</v>
      </c>
      <c r="J488" s="12" t="s">
        <v>25</v>
      </c>
    </row>
    <row customHeight="1" ht="33" r="489">
      <c r="B489" s="12">
        <f>HYPERLINK("https://gesdoc.uis.edu.co/share/page/folder-details?nodeRef=workspace://SpacesStore/953819b3-e981-4e42-b991-e53b04a92887","0018_2026002485_9174")</f>
      </c>
      <c r="C489" s="12" t="s">
        <v>347</v>
      </c>
      <c r="D489" s="13" t="s">
        <v>467</v>
      </c>
      <c r="E489" s="12" t="s">
        <v>494</v>
      </c>
      <c r="F489" s="12" t="s">
        <v>500</v>
      </c>
      <c r="G489" s="12" t="s">
        <v>879</v>
      </c>
      <c r="H489" s="12" t="s">
        <v>879</v>
      </c>
      <c r="I489" s="12" t="s">
        <v>25</v>
      </c>
      <c r="J489" s="12" t="s">
        <v>25</v>
      </c>
    </row>
    <row customHeight="1" ht="33" r="490">
      <c r="B490" s="12">
        <f>HYPERLINK("https://gesdoc.uis.edu.co/share/page/folder-details?nodeRef=workspace://SpacesStore/27ec5084-247b-4248-b835-6998facdb073","0018_2026002408_7021")</f>
      </c>
      <c r="C490" s="12" t="s">
        <v>348</v>
      </c>
      <c r="D490" s="13" t="s">
        <v>467</v>
      </c>
      <c r="E490" s="12" t="s">
        <v>494</v>
      </c>
      <c r="F490" s="12" t="s">
        <v>500</v>
      </c>
      <c r="G490" s="12" t="s">
        <v>880</v>
      </c>
      <c r="H490" s="12" t="s">
        <v>1189</v>
      </c>
      <c r="I490" s="12" t="s">
        <v>25</v>
      </c>
      <c r="J490" s="12" t="s">
        <v>25</v>
      </c>
    </row>
    <row customHeight="1" ht="33" r="491">
      <c r="B491" s="12">
        <f>HYPERLINK("https://gesdoc.uis.edu.co/share/page/folder-details?nodeRef=workspace://SpacesStore/a9a97d0f-50df-41e2-b8c3-b06ec6b9f22a","0298_2026000261_3160")</f>
      </c>
      <c r="C491" s="12" t="s">
        <v>349</v>
      </c>
      <c r="D491" s="13" t="s">
        <v>440</v>
      </c>
      <c r="E491" s="12" t="s">
        <v>494</v>
      </c>
      <c r="F491" s="12" t="s">
        <v>503</v>
      </c>
      <c r="G491" s="12" t="s">
        <v>881</v>
      </c>
      <c r="H491" s="12" t="s">
        <v>1190</v>
      </c>
      <c r="I491" s="12" t="s">
        <v>25</v>
      </c>
      <c r="J491" s="12" t="s">
        <v>25</v>
      </c>
    </row>
    <row customHeight="1" ht="33" r="492">
      <c r="B492" s="12">
        <f>HYPERLINK("https://gesdoc.uis.edu.co/share/page/folder-details?nodeRef=workspace://SpacesStore/727d1592-c96e-493c-bacc-b831581e5844","0020_2026000342_7810")</f>
      </c>
      <c r="C492" s="12" t="s">
        <v>350</v>
      </c>
      <c r="D492" s="13" t="s">
        <v>477</v>
      </c>
      <c r="E492" s="12" t="s">
        <v>494</v>
      </c>
      <c r="F492" s="12" t="s">
        <v>495</v>
      </c>
      <c r="G492" s="12" t="s">
        <v>831</v>
      </c>
      <c r="H492" s="12" t="s">
        <v>1191</v>
      </c>
      <c r="I492" s="12" t="s">
        <v>25</v>
      </c>
      <c r="J492" s="12" t="s">
        <v>25</v>
      </c>
    </row>
    <row customHeight="1" ht="33" r="493">
      <c r="B493" s="12">
        <f>HYPERLINK("https://gesdoc.uis.edu.co/share/page/folder-details?nodeRef=workspace://SpacesStore/16bb9e12-db59-4591-9acb-7947e7d69e8a","20_2026000359")</f>
      </c>
      <c r="C493" s="12" t="s">
        <v>25</v>
      </c>
      <c r="D493" s="13" t="s">
        <v>482</v>
      </c>
      <c r="E493" s="12" t="s">
        <v>494</v>
      </c>
      <c r="F493" s="12" t="s">
        <v>495</v>
      </c>
      <c r="G493" s="12" t="s">
        <v>882</v>
      </c>
      <c r="H493" s="12" t="s">
        <v>1192</v>
      </c>
      <c r="I493" s="12" t="s">
        <v>25</v>
      </c>
      <c r="J493" s="12" t="s">
        <v>25</v>
      </c>
    </row>
    <row customHeight="1" ht="33" r="494">
      <c r="B494" s="12">
        <f>HYPERLINK("https://gesdoc.uis.edu.co/share/page/folder-details?nodeRef=workspace://SpacesStore/1dbcee64-50f1-4f8d-9acd-20bfe1ba63f7","0018_2026002458_9285")</f>
      </c>
      <c r="C494" s="12" t="s">
        <v>351</v>
      </c>
      <c r="D494" s="13" t="s">
        <v>479</v>
      </c>
      <c r="E494" s="12" t="s">
        <v>494</v>
      </c>
      <c r="F494" s="12" t="s">
        <v>500</v>
      </c>
      <c r="G494" s="12" t="s">
        <v>883</v>
      </c>
      <c r="H494" s="12" t="s">
        <v>883</v>
      </c>
      <c r="I494" s="12" t="s">
        <v>25</v>
      </c>
      <c r="J494" s="12" t="s">
        <v>25</v>
      </c>
    </row>
    <row customHeight="1" ht="33" r="495">
      <c r="B495" s="12">
        <f>HYPERLINK("https://gesdoc.uis.edu.co/share/page/folder-details?nodeRef=workspace://SpacesStore/11ba2ad8-616a-434d-83c1-3305fbc4dad4","0018_2026002468_9285")</f>
      </c>
      <c r="C495" s="12" t="s">
        <v>352</v>
      </c>
      <c r="D495" s="13" t="s">
        <v>479</v>
      </c>
      <c r="E495" s="12" t="s">
        <v>494</v>
      </c>
      <c r="F495" s="12" t="s">
        <v>500</v>
      </c>
      <c r="G495" s="12" t="s">
        <v>883</v>
      </c>
      <c r="H495" s="12" t="s">
        <v>883</v>
      </c>
      <c r="I495" s="12" t="s">
        <v>25</v>
      </c>
      <c r="J495" s="12" t="s">
        <v>25</v>
      </c>
    </row>
    <row customHeight="1" ht="33" r="496">
      <c r="B496" s="12">
        <f>HYPERLINK("https://gesdoc.uis.edu.co/share/page/folder-details?nodeRef=workspace://SpacesStore/a821aaff-1f35-4a49-a8e3-2f9938cfd375","0018_2026002484_9285")</f>
      </c>
      <c r="C496" s="12" t="s">
        <v>353</v>
      </c>
      <c r="D496" s="13" t="s">
        <v>479</v>
      </c>
      <c r="E496" s="12" t="s">
        <v>494</v>
      </c>
      <c r="F496" s="12" t="s">
        <v>500</v>
      </c>
      <c r="G496" s="12" t="s">
        <v>884</v>
      </c>
      <c r="H496" s="12" t="s">
        <v>884</v>
      </c>
      <c r="I496" s="12" t="s">
        <v>25</v>
      </c>
      <c r="J496" s="12" t="s">
        <v>25</v>
      </c>
    </row>
    <row customHeight="1" ht="33" r="497">
      <c r="B497" s="12">
        <f>HYPERLINK("https://gesdoc.uis.edu.co/share/page/folder-details?nodeRef=workspace://SpacesStore/e645d062-c8e8-4b5a-a68c-01e94bb6f86e","0018_20260810_6863")</f>
      </c>
      <c r="C497" s="12" t="s">
        <v>354</v>
      </c>
      <c r="D497" s="13" t="s">
        <v>472</v>
      </c>
      <c r="E497" s="12" t="s">
        <v>494</v>
      </c>
      <c r="F497" s="12" t="s">
        <v>500</v>
      </c>
      <c r="G497" s="12" t="s">
        <v>884</v>
      </c>
      <c r="H497" s="12" t="s">
        <v>884</v>
      </c>
      <c r="I497" s="12" t="s">
        <v>25</v>
      </c>
      <c r="J497" s="12" t="s">
        <v>25</v>
      </c>
    </row>
    <row customHeight="1" ht="33" r="498">
      <c r="B498" s="12">
        <f>HYPERLINK("https://gesdoc.uis.edu.co/share/page/folder-details?nodeRef=workspace://SpacesStore/6f576bb7-5630-4534-93cd-69c9ca97746d","0018_2026002477_9285")</f>
      </c>
      <c r="C498" s="12" t="s">
        <v>355</v>
      </c>
      <c r="D498" s="13" t="s">
        <v>479</v>
      </c>
      <c r="E498" s="12" t="s">
        <v>494</v>
      </c>
      <c r="F498" s="12" t="s">
        <v>500</v>
      </c>
      <c r="G498" s="12" t="s">
        <v>883</v>
      </c>
      <c r="H498" s="12" t="s">
        <v>883</v>
      </c>
      <c r="I498" s="12" t="s">
        <v>25</v>
      </c>
      <c r="J498" s="12" t="s">
        <v>25</v>
      </c>
    </row>
    <row customHeight="1" ht="33" r="499">
      <c r="B499" s="12">
        <f>HYPERLINK("https://gesdoc.uis.edu.co/share/page/folder-details?nodeRef=workspace://SpacesStore/e888fa37-316f-4cb6-b1d1-26e3c8a75a2c","0018_2026002483_9285")</f>
      </c>
      <c r="C499" s="12" t="s">
        <v>356</v>
      </c>
      <c r="D499" s="13" t="s">
        <v>479</v>
      </c>
      <c r="E499" s="12" t="s">
        <v>494</v>
      </c>
      <c r="F499" s="12" t="s">
        <v>500</v>
      </c>
      <c r="G499" s="12" t="s">
        <v>883</v>
      </c>
      <c r="H499" s="12" t="s">
        <v>1193</v>
      </c>
      <c r="I499" s="12" t="s">
        <v>25</v>
      </c>
      <c r="J499" s="12" t="s">
        <v>25</v>
      </c>
    </row>
    <row customHeight="1" ht="33" r="500">
      <c r="B500" s="12">
        <f>HYPERLINK("https://gesdoc.uis.edu.co/share/page/folder-details?nodeRef=workspace://SpacesStore/ad185bde-808e-434e-9967-80c67ea77734","0018_2026002448")</f>
      </c>
      <c r="C500" s="12" t="s">
        <v>357</v>
      </c>
      <c r="D500" s="13" t="s">
        <v>453</v>
      </c>
      <c r="E500" s="12" t="s">
        <v>494</v>
      </c>
      <c r="F500" s="12" t="s">
        <v>500</v>
      </c>
      <c r="G500" s="12" t="s">
        <v>885</v>
      </c>
      <c r="H500" s="12" t="s">
        <v>885</v>
      </c>
      <c r="I500" s="12" t="s">
        <v>25</v>
      </c>
      <c r="J500" s="12" t="s">
        <v>25</v>
      </c>
    </row>
    <row customHeight="1" ht="33" r="501">
      <c r="B501" s="12">
        <f>HYPERLINK("https://gesdoc.uis.edu.co/share/page/folder-details?nodeRef=workspace://SpacesStore/a60c915f-a405-49b4-a3f6-ac727feaa965","2026011846_2250")</f>
      </c>
      <c r="C501" s="12" t="s">
        <v>25</v>
      </c>
      <c r="D501" s="13" t="s">
        <v>464</v>
      </c>
      <c r="E501" s="12" t="s">
        <v>494</v>
      </c>
      <c r="F501" s="12" t="s">
        <v>501</v>
      </c>
      <c r="G501" s="12" t="s">
        <v>886</v>
      </c>
      <c r="H501" s="12" t="s">
        <v>886</v>
      </c>
      <c r="I501" s="12" t="s">
        <v>25</v>
      </c>
      <c r="J501" s="12" t="s">
        <v>25</v>
      </c>
    </row>
    <row customHeight="1" ht="33" r="502">
      <c r="B502" s="12">
        <f>HYPERLINK("https://gesdoc.uis.edu.co/share/page/folder-details?nodeRef=workspace://SpacesStore/3738a41a-360b-4999-bc98-f24b8f1d4730","2026011679_2250")</f>
      </c>
      <c r="C502" s="12" t="s">
        <v>25</v>
      </c>
      <c r="D502" s="13" t="s">
        <v>464</v>
      </c>
      <c r="E502" s="12" t="s">
        <v>494</v>
      </c>
      <c r="F502" s="12" t="s">
        <v>501</v>
      </c>
      <c r="G502" s="12" t="s">
        <v>869</v>
      </c>
      <c r="H502" s="12" t="s">
        <v>1194</v>
      </c>
      <c r="I502" s="12" t="s">
        <v>25</v>
      </c>
      <c r="J502" s="12" t="s">
        <v>25</v>
      </c>
    </row>
    <row customHeight="1" ht="33" r="503">
      <c r="B503" s="12">
        <f>HYPERLINK("https://gesdoc.uis.edu.co/share/page/folder-details?nodeRef=workspace://SpacesStore/ec79773e-6f15-470b-8c01-96e873896b46","0270_2026000746_4516")</f>
      </c>
      <c r="C503" s="12" t="s">
        <v>358</v>
      </c>
      <c r="D503" s="13" t="s">
        <v>461</v>
      </c>
      <c r="E503" s="12" t="s">
        <v>494</v>
      </c>
      <c r="F503" s="12" t="s">
        <v>500</v>
      </c>
      <c r="G503" s="12" t="s">
        <v>887</v>
      </c>
      <c r="H503" s="12" t="s">
        <v>887</v>
      </c>
      <c r="I503" s="12" t="s">
        <v>25</v>
      </c>
      <c r="J503" s="12" t="s">
        <v>25</v>
      </c>
    </row>
    <row customHeight="1" ht="33" r="504">
      <c r="B504" s="12">
        <f>HYPERLINK("https://gesdoc.uis.edu.co/share/page/folder-details?nodeRef=workspace://SpacesStore/33d9007b-54d3-45c0-9c6c-a9c42a5f642f","2025000481_9702")</f>
      </c>
      <c r="C504" s="12" t="s">
        <v>25</v>
      </c>
      <c r="D504" s="13" t="s">
        <v>454</v>
      </c>
      <c r="E504" s="12" t="s">
        <v>494</v>
      </c>
      <c r="F504" s="12" t="s">
        <v>504</v>
      </c>
      <c r="G504" s="12" t="s">
        <v>888</v>
      </c>
      <c r="H504" s="12" t="s">
        <v>888</v>
      </c>
      <c r="I504" s="12" t="s">
        <v>25</v>
      </c>
      <c r="J504" s="12" t="s">
        <v>25</v>
      </c>
    </row>
    <row customHeight="1" ht="33" r="505">
      <c r="B505" s="12">
        <f>HYPERLINK("https://gesdoc.uis.edu.co/share/page/folder-details?nodeRef=workspace://SpacesStore/59161524-4aea-4aa9-9709-9776f4774cdd","2025000303_9701")</f>
      </c>
      <c r="C505" s="12" t="s">
        <v>25</v>
      </c>
      <c r="D505" s="13" t="s">
        <v>454</v>
      </c>
      <c r="E505" s="12" t="s">
        <v>494</v>
      </c>
      <c r="F505" s="12" t="s">
        <v>504</v>
      </c>
      <c r="G505" s="12" t="s">
        <v>889</v>
      </c>
      <c r="H505" s="12" t="s">
        <v>889</v>
      </c>
      <c r="I505" s="12" t="s">
        <v>25</v>
      </c>
      <c r="J505" s="12" t="s">
        <v>25</v>
      </c>
    </row>
    <row customHeight="1" ht="33" r="506">
      <c r="B506" s="12">
        <f>HYPERLINK("https://gesdoc.uis.edu.co/share/page/folder-details?nodeRef=workspace://SpacesStore/83c7ab36-89c7-4caf-9e12-ee73ccc3c40c","2026011845_2250")</f>
      </c>
      <c r="C506" s="12" t="s">
        <v>25</v>
      </c>
      <c r="D506" s="13" t="s">
        <v>464</v>
      </c>
      <c r="E506" s="12" t="s">
        <v>494</v>
      </c>
      <c r="F506" s="12" t="s">
        <v>501</v>
      </c>
      <c r="G506" s="12" t="s">
        <v>890</v>
      </c>
      <c r="H506" s="12" t="s">
        <v>890</v>
      </c>
      <c r="I506" s="12" t="s">
        <v>25</v>
      </c>
      <c r="J506" s="12" t="s">
        <v>25</v>
      </c>
    </row>
    <row customHeight="1" ht="33" r="507">
      <c r="B507" s="12">
        <f>HYPERLINK("https://gesdoc.uis.edu.co/share/page/folder-details?nodeRef=workspace://SpacesStore/0de7366f-37a8-4762-ab81-73ddabdbef3e","0018_2026002426_9127")</f>
      </c>
      <c r="C507" s="12" t="s">
        <v>359</v>
      </c>
      <c r="D507" s="13" t="s">
        <v>483</v>
      </c>
      <c r="E507" s="12" t="s">
        <v>494</v>
      </c>
      <c r="F507" s="12" t="s">
        <v>500</v>
      </c>
      <c r="G507" s="12" t="s">
        <v>891</v>
      </c>
      <c r="H507" s="12" t="s">
        <v>1195</v>
      </c>
      <c r="I507" s="12" t="s">
        <v>25</v>
      </c>
      <c r="J507" s="12" t="s">
        <v>25</v>
      </c>
    </row>
    <row customHeight="1" ht="33" r="508">
      <c r="B508" s="12">
        <f>HYPERLINK("https://gesdoc.uis.edu.co/share/page/folder-details?nodeRef=workspace://SpacesStore/47eb6650-f640-4479-96a9-041626bb1060","0018_2026002398_9198")</f>
      </c>
      <c r="C508" s="12" t="s">
        <v>360</v>
      </c>
      <c r="D508" s="13" t="s">
        <v>444</v>
      </c>
      <c r="E508" s="12" t="s">
        <v>494</v>
      </c>
      <c r="F508" s="12" t="s">
        <v>500</v>
      </c>
      <c r="G508" s="12" t="s">
        <v>892</v>
      </c>
      <c r="H508" s="12" t="s">
        <v>892</v>
      </c>
      <c r="I508" s="12" t="s">
        <v>25</v>
      </c>
      <c r="J508" s="12" t="s">
        <v>25</v>
      </c>
    </row>
    <row customHeight="1" ht="33" r="509">
      <c r="B509" s="12">
        <f>HYPERLINK("https://gesdoc.uis.edu.co/share/page/folder-details?nodeRef=workspace://SpacesStore/1f4fa869-daf3-4012-990d-06b3082a48a7","0018_2026002343_1130")</f>
      </c>
      <c r="C509" s="12" t="s">
        <v>361</v>
      </c>
      <c r="D509" s="13" t="s">
        <v>484</v>
      </c>
      <c r="E509" s="12" t="s">
        <v>494</v>
      </c>
      <c r="F509" s="12" t="s">
        <v>500</v>
      </c>
      <c r="G509" s="12" t="s">
        <v>893</v>
      </c>
      <c r="H509" s="12" t="s">
        <v>1196</v>
      </c>
      <c r="I509" s="12" t="s">
        <v>25</v>
      </c>
      <c r="J509" s="12" t="s">
        <v>25</v>
      </c>
    </row>
    <row customHeight="1" ht="33" r="510">
      <c r="B510" s="12">
        <f>HYPERLINK("https://gesdoc.uis.edu.co/share/page/folder-details?nodeRef=workspace://SpacesStore/0e58ae85-b143-4792-8254-0fe43283d472","2025000479_9702")</f>
      </c>
      <c r="C510" s="12" t="s">
        <v>25</v>
      </c>
      <c r="D510" s="13" t="s">
        <v>454</v>
      </c>
      <c r="E510" s="12" t="s">
        <v>494</v>
      </c>
      <c r="F510" s="12" t="s">
        <v>504</v>
      </c>
      <c r="G510" s="12" t="s">
        <v>894</v>
      </c>
      <c r="H510" s="12" t="s">
        <v>894</v>
      </c>
      <c r="I510" s="12" t="s">
        <v>25</v>
      </c>
      <c r="J510" s="12" t="s">
        <v>25</v>
      </c>
    </row>
    <row customHeight="1" ht="33" r="511">
      <c r="B511" s="12">
        <f>HYPERLINK("https://gesdoc.uis.edu.co/share/page/folder-details?nodeRef=workspace://SpacesStore/124804b1-71fb-4f89-976d-4b7ada0e1c22","2025000474_9701")</f>
      </c>
      <c r="C511" s="12" t="s">
        <v>25</v>
      </c>
      <c r="D511" s="13" t="s">
        <v>454</v>
      </c>
      <c r="E511" s="12" t="s">
        <v>494</v>
      </c>
      <c r="F511" s="12" t="s">
        <v>504</v>
      </c>
      <c r="G511" s="12" t="s">
        <v>895</v>
      </c>
      <c r="H511" s="12" t="s">
        <v>895</v>
      </c>
      <c r="I511" s="12" t="s">
        <v>25</v>
      </c>
      <c r="J511" s="12" t="s">
        <v>25</v>
      </c>
    </row>
    <row customHeight="1" ht="33" r="512">
      <c r="B512" s="12">
        <f>HYPERLINK("https://gesdoc.uis.edu.co/share/page/folder-details?nodeRef=workspace://SpacesStore/92289353-c25d-4be6-9cc0-5a661fbce864","0018_2026002421_3140")</f>
      </c>
      <c r="C512" s="12" t="s">
        <v>362</v>
      </c>
      <c r="D512" s="13" t="s">
        <v>445</v>
      </c>
      <c r="E512" s="12" t="s">
        <v>494</v>
      </c>
      <c r="F512" s="12" t="s">
        <v>500</v>
      </c>
      <c r="G512" s="12" t="s">
        <v>896</v>
      </c>
      <c r="H512" s="12" t="s">
        <v>1197</v>
      </c>
      <c r="I512" s="12" t="s">
        <v>25</v>
      </c>
      <c r="J512" s="12" t="s">
        <v>25</v>
      </c>
    </row>
    <row customHeight="1" ht="33" r="513">
      <c r="B513" s="12">
        <f>HYPERLINK("https://gesdoc.uis.edu.co/share/page/folder-details?nodeRef=workspace://SpacesStore/6e18029f-f70a-4551-a8e2-2714360d150e","0298_2026000267_3160")</f>
      </c>
      <c r="C513" s="12" t="s">
        <v>363</v>
      </c>
      <c r="D513" s="13" t="s">
        <v>440</v>
      </c>
      <c r="E513" s="12" t="s">
        <v>494</v>
      </c>
      <c r="F513" s="12" t="s">
        <v>503</v>
      </c>
      <c r="G513" s="12" t="s">
        <v>897</v>
      </c>
      <c r="H513" s="12" t="s">
        <v>1198</v>
      </c>
      <c r="I513" s="12" t="s">
        <v>25</v>
      </c>
      <c r="J513" s="12" t="s">
        <v>25</v>
      </c>
    </row>
    <row customHeight="1" ht="33" r="514">
      <c r="B514" s="12">
        <f>HYPERLINK("https://gesdoc.uis.edu.co/share/page/folder-details?nodeRef=workspace://SpacesStore/4d5b6649-2c72-476a-8d9c-eb6e841a8897","0234_2026011837_7837")</f>
      </c>
      <c r="C514" s="12" t="s">
        <v>364</v>
      </c>
      <c r="D514" s="13" t="s">
        <v>438</v>
      </c>
      <c r="E514" s="12" t="s">
        <v>494</v>
      </c>
      <c r="F514" s="12" t="s">
        <v>501</v>
      </c>
      <c r="G514" s="12" t="s">
        <v>898</v>
      </c>
      <c r="H514" s="12" t="s">
        <v>898</v>
      </c>
      <c r="I514" s="12" t="s">
        <v>25</v>
      </c>
      <c r="J514" s="12" t="s">
        <v>25</v>
      </c>
    </row>
    <row customHeight="1" ht="33" r="515">
      <c r="B515" s="12">
        <f>HYPERLINK("https://gesdoc.uis.edu.co/share/page/folder-details?nodeRef=workspace://SpacesStore/a4699322-67e0-46be-a207-e8aba778feb1","0018_2026002512_9285")</f>
      </c>
      <c r="C515" s="12" t="s">
        <v>365</v>
      </c>
      <c r="D515" s="13" t="s">
        <v>479</v>
      </c>
      <c r="E515" s="12" t="s">
        <v>494</v>
      </c>
      <c r="F515" s="12" t="s">
        <v>500</v>
      </c>
      <c r="G515" s="12" t="s">
        <v>899</v>
      </c>
      <c r="H515" s="12" t="s">
        <v>899</v>
      </c>
      <c r="I515" s="12" t="s">
        <v>25</v>
      </c>
      <c r="J515" s="12" t="s">
        <v>25</v>
      </c>
    </row>
    <row customHeight="1" ht="33" r="516">
      <c r="B516" s="12">
        <f>HYPERLINK("https://gesdoc.uis.edu.co/share/page/folder-details?nodeRef=workspace://SpacesStore/d0a77423-43de-4164-baa3-097aa9dc7ef0","2025000188_9701")</f>
      </c>
      <c r="C516" s="12" t="s">
        <v>25</v>
      </c>
      <c r="D516" s="13" t="s">
        <v>454</v>
      </c>
      <c r="E516" s="12" t="s">
        <v>494</v>
      </c>
      <c r="F516" s="12" t="s">
        <v>504</v>
      </c>
      <c r="G516" s="12" t="s">
        <v>900</v>
      </c>
      <c r="H516" s="12" t="s">
        <v>900</v>
      </c>
      <c r="I516" s="12" t="s">
        <v>25</v>
      </c>
      <c r="J516" s="12" t="s">
        <v>25</v>
      </c>
    </row>
    <row customHeight="1" ht="33" r="517">
      <c r="B517" s="12">
        <f>HYPERLINK("https://gesdoc.uis.edu.co/share/page/folder-details?nodeRef=workspace://SpacesStore/25b81a8a-e333-4a98-8bc9-3e8c0f4a2e73","0018_2026002492_9127")</f>
      </c>
      <c r="C517" s="12" t="s">
        <v>366</v>
      </c>
      <c r="D517" s="13" t="s">
        <v>483</v>
      </c>
      <c r="E517" s="12" t="s">
        <v>494</v>
      </c>
      <c r="F517" s="12" t="s">
        <v>500</v>
      </c>
      <c r="G517" s="12" t="s">
        <v>901</v>
      </c>
      <c r="H517" s="12" t="s">
        <v>900</v>
      </c>
      <c r="I517" s="12" t="s">
        <v>25</v>
      </c>
      <c r="J517" s="12" t="s">
        <v>25</v>
      </c>
    </row>
    <row customHeight="1" ht="33" r="518">
      <c r="B518" s="12">
        <f>HYPERLINK("https://gesdoc.uis.edu.co/share/page/folder-details?nodeRef=workspace://SpacesStore/306f350a-1c71-4503-be3c-f64c3da765e5","2026011844_2250")</f>
      </c>
      <c r="C518" s="12" t="s">
        <v>25</v>
      </c>
      <c r="D518" s="13" t="s">
        <v>464</v>
      </c>
      <c r="E518" s="12" t="s">
        <v>494</v>
      </c>
      <c r="F518" s="12" t="s">
        <v>501</v>
      </c>
      <c r="G518" s="12" t="s">
        <v>900</v>
      </c>
      <c r="H518" s="12" t="s">
        <v>900</v>
      </c>
      <c r="I518" s="12" t="s">
        <v>25</v>
      </c>
      <c r="J518" s="12" t="s">
        <v>25</v>
      </c>
    </row>
    <row customHeight="1" ht="33" r="519">
      <c r="B519" s="12">
        <f>HYPERLINK("https://gesdoc.uis.edu.co/share/page/folder-details?nodeRef=workspace://SpacesStore/2cb96c98-0d59-4cfa-add9-1aa328b54769","0270_2026000744_9701")</f>
      </c>
      <c r="C519" s="12" t="s">
        <v>367</v>
      </c>
      <c r="D519" s="13" t="s">
        <v>454</v>
      </c>
      <c r="E519" s="12" t="s">
        <v>494</v>
      </c>
      <c r="F519" s="12" t="s">
        <v>504</v>
      </c>
      <c r="G519" s="12" t="s">
        <v>902</v>
      </c>
      <c r="H519" s="12" t="s">
        <v>1199</v>
      </c>
      <c r="I519" s="12" t="s">
        <v>25</v>
      </c>
      <c r="J519" s="12" t="s">
        <v>25</v>
      </c>
    </row>
    <row customHeight="1" ht="33" r="520">
      <c r="B520" s="12">
        <f>HYPERLINK("https://gesdoc.uis.edu.co/share/page/folder-details?nodeRef=workspace://SpacesStore/ed487b61-55c3-45ca-8924-86813235ac08","0020_2026000325_7753")</f>
      </c>
      <c r="C520" s="12" t="s">
        <v>368</v>
      </c>
      <c r="D520" s="13" t="s">
        <v>485</v>
      </c>
      <c r="E520" s="12" t="s">
        <v>494</v>
      </c>
      <c r="F520" s="12" t="s">
        <v>495</v>
      </c>
      <c r="G520" s="12" t="s">
        <v>903</v>
      </c>
      <c r="H520" s="12" t="s">
        <v>1200</v>
      </c>
      <c r="I520" s="12" t="s">
        <v>25</v>
      </c>
      <c r="J520" s="12" t="s">
        <v>25</v>
      </c>
    </row>
    <row customHeight="1" ht="33" r="521">
      <c r="B521" s="12">
        <f>HYPERLINK("https://gesdoc.uis.edu.co/share/page/folder-details?nodeRef=workspace://SpacesStore/8c5276c8-fdb5-467b-a08a-e97ce09d38b8","2026011856_2250")</f>
      </c>
      <c r="C521" s="12" t="s">
        <v>25</v>
      </c>
      <c r="D521" s="13" t="s">
        <v>464</v>
      </c>
      <c r="E521" s="12" t="s">
        <v>494</v>
      </c>
      <c r="F521" s="12" t="s">
        <v>501</v>
      </c>
      <c r="G521" s="12" t="s">
        <v>904</v>
      </c>
      <c r="H521" s="12" t="s">
        <v>904</v>
      </c>
      <c r="I521" s="12" t="s">
        <v>25</v>
      </c>
      <c r="J521" s="12" t="s">
        <v>25</v>
      </c>
    </row>
    <row customHeight="1" ht="33" r="522">
      <c r="B522" s="12">
        <f>HYPERLINK("https://gesdoc.uis.edu.co/share/page/folder-details?nodeRef=workspace://SpacesStore/b263a0d2-bb59-4a7b-9efc-87c0b8ce5768","0018_2026002491_9109")</f>
      </c>
      <c r="C522" s="12" t="s">
        <v>369</v>
      </c>
      <c r="D522" s="13" t="s">
        <v>486</v>
      </c>
      <c r="E522" s="12" t="s">
        <v>494</v>
      </c>
      <c r="F522" s="12" t="s">
        <v>500</v>
      </c>
      <c r="G522" s="12" t="s">
        <v>905</v>
      </c>
      <c r="H522" s="12" t="s">
        <v>905</v>
      </c>
      <c r="I522" s="12" t="s">
        <v>25</v>
      </c>
      <c r="J522" s="12" t="s">
        <v>25</v>
      </c>
    </row>
    <row customHeight="1" ht="33" r="523">
      <c r="B523" s="12">
        <f>HYPERLINK("https://gesdoc.uis.edu.co/share/page/folder-details?nodeRef=workspace://SpacesStore/3c7c1ca8-ea54-49fb-8373-62f408ee54b6","0018_2026002295_3140")</f>
      </c>
      <c r="C523" s="12" t="s">
        <v>370</v>
      </c>
      <c r="D523" s="13" t="s">
        <v>445</v>
      </c>
      <c r="E523" s="12" t="s">
        <v>494</v>
      </c>
      <c r="F523" s="12" t="s">
        <v>500</v>
      </c>
      <c r="G523" s="12" t="s">
        <v>906</v>
      </c>
      <c r="H523" s="12" t="s">
        <v>1201</v>
      </c>
      <c r="I523" s="12" t="s">
        <v>25</v>
      </c>
      <c r="J523" s="12" t="s">
        <v>25</v>
      </c>
    </row>
    <row customHeight="1" ht="33" r="524">
      <c r="B524" s="12">
        <f>HYPERLINK("https://gesdoc.uis.edu.co/share/page/folder-details?nodeRef=workspace://SpacesStore/8037351b-bad2-4510-bb9d-555a698a6354","0018_2026002502_2110")</f>
      </c>
      <c r="C524" s="12" t="s">
        <v>371</v>
      </c>
      <c r="D524" s="13" t="s">
        <v>443</v>
      </c>
      <c r="E524" s="12" t="s">
        <v>494</v>
      </c>
      <c r="F524" s="12" t="s">
        <v>500</v>
      </c>
      <c r="G524" s="12" t="s">
        <v>907</v>
      </c>
      <c r="H524" s="12" t="s">
        <v>1202</v>
      </c>
      <c r="I524" s="12" t="s">
        <v>25</v>
      </c>
      <c r="J524" s="12" t="s">
        <v>25</v>
      </c>
    </row>
    <row customHeight="1" ht="33" r="525">
      <c r="B525" s="12">
        <f>HYPERLINK("https://gesdoc.uis.edu.co/share/page/folder-details?nodeRef=workspace://SpacesStore/e8d35c42-a675-49dd-8d12-d9636c0be8fe","0018_2026002480_3140")</f>
      </c>
      <c r="C525" s="12" t="s">
        <v>372</v>
      </c>
      <c r="D525" s="13" t="s">
        <v>445</v>
      </c>
      <c r="E525" s="12" t="s">
        <v>494</v>
      </c>
      <c r="F525" s="12" t="s">
        <v>500</v>
      </c>
      <c r="G525" s="12" t="s">
        <v>908</v>
      </c>
      <c r="H525" s="12" t="s">
        <v>1203</v>
      </c>
      <c r="I525" s="12" t="s">
        <v>25</v>
      </c>
      <c r="J525" s="12" t="s">
        <v>25</v>
      </c>
    </row>
    <row customHeight="1" ht="33" r="526">
      <c r="B526" s="12">
        <f>HYPERLINK("https://gesdoc.uis.edu.co/share/page/folder-details?nodeRef=workspace://SpacesStore/7e1ea443-0cd5-4042-bf40-86f9fe28a817","0018_2026002500_7003")</f>
      </c>
      <c r="C526" s="12" t="s">
        <v>373</v>
      </c>
      <c r="D526" s="13" t="s">
        <v>452</v>
      </c>
      <c r="E526" s="12" t="s">
        <v>494</v>
      </c>
      <c r="F526" s="12" t="s">
        <v>500</v>
      </c>
      <c r="G526" s="12" t="s">
        <v>909</v>
      </c>
      <c r="H526" s="12" t="s">
        <v>909</v>
      </c>
      <c r="I526" s="12" t="s">
        <v>25</v>
      </c>
      <c r="J526" s="12" t="s">
        <v>25</v>
      </c>
    </row>
    <row customHeight="1" ht="33" r="527">
      <c r="B527" s="12">
        <f>HYPERLINK("https://gesdoc.uis.edu.co/share/page/folder-details?nodeRef=workspace://SpacesStore/a74214dc-bd31-480a-b85a-880bfe9d84a6","0020_2026000333_9669")</f>
      </c>
      <c r="C527" s="12" t="s">
        <v>374</v>
      </c>
      <c r="D527" s="13" t="s">
        <v>460</v>
      </c>
      <c r="E527" s="12" t="s">
        <v>494</v>
      </c>
      <c r="F527" s="12" t="s">
        <v>495</v>
      </c>
      <c r="G527" s="12" t="s">
        <v>910</v>
      </c>
      <c r="H527" s="12" t="s">
        <v>910</v>
      </c>
      <c r="I527" s="12" t="s">
        <v>25</v>
      </c>
      <c r="J527" s="12" t="s">
        <v>25</v>
      </c>
    </row>
    <row customHeight="1" ht="33" r="528">
      <c r="B528" s="12">
        <f>HYPERLINK("https://gesdoc.uis.edu.co/share/page/folder-details?nodeRef=workspace://SpacesStore/988a44af-864f-488f-9194-66f0a7133785","0020_2026000334")</f>
      </c>
      <c r="C528" s="12" t="s">
        <v>375</v>
      </c>
      <c r="D528" s="13" t="s">
        <v>453</v>
      </c>
      <c r="E528" s="12" t="s">
        <v>494</v>
      </c>
      <c r="F528" s="12" t="s">
        <v>495</v>
      </c>
      <c r="G528" s="12" t="s">
        <v>911</v>
      </c>
      <c r="H528" s="12" t="s">
        <v>911</v>
      </c>
      <c r="I528" s="12" t="s">
        <v>25</v>
      </c>
      <c r="J528" s="12" t="s">
        <v>25</v>
      </c>
    </row>
    <row customHeight="1" ht="33" r="529">
      <c r="B529" s="12">
        <f>HYPERLINK("https://gesdoc.uis.edu.co/share/page/folder-details?nodeRef=workspace://SpacesStore/67b343d8-87a0-43b5-9a9f-a133c34a673c","0020_2026000321_7841")</f>
      </c>
      <c r="C529" s="12" t="s">
        <v>376</v>
      </c>
      <c r="D529" s="13" t="s">
        <v>487</v>
      </c>
      <c r="E529" s="12" t="s">
        <v>494</v>
      </c>
      <c r="F529" s="12" t="s">
        <v>495</v>
      </c>
      <c r="G529" s="12" t="s">
        <v>912</v>
      </c>
      <c r="H529" s="12" t="s">
        <v>1204</v>
      </c>
      <c r="I529" s="12" t="s">
        <v>25</v>
      </c>
      <c r="J529" s="12" t="s">
        <v>25</v>
      </c>
    </row>
    <row customHeight="1" ht="33" r="530">
      <c r="B530" s="12">
        <f>HYPERLINK("https://gesdoc.uis.edu.co/share/page/folder-details?nodeRef=workspace://SpacesStore/876b8fae-850a-4abd-9c47-60e9dd29de9c","0020_2026000232_7841")</f>
      </c>
      <c r="C530" s="12" t="s">
        <v>377</v>
      </c>
      <c r="D530" s="13" t="s">
        <v>487</v>
      </c>
      <c r="E530" s="12" t="s">
        <v>494</v>
      </c>
      <c r="F530" s="12" t="s">
        <v>495</v>
      </c>
      <c r="G530" s="12" t="s">
        <v>913</v>
      </c>
      <c r="H530" s="12" t="s">
        <v>1205</v>
      </c>
      <c r="I530" s="12" t="s">
        <v>25</v>
      </c>
      <c r="J530" s="12" t="s">
        <v>25</v>
      </c>
    </row>
    <row customHeight="1" ht="33" r="531">
      <c r="B531" s="12">
        <f>HYPERLINK("https://gesdoc.uis.edu.co/share/page/folder-details?nodeRef=workspace://SpacesStore/8c7fe519-7665-4985-b00d-543edbc3d736","0018_2026002495_7849")</f>
      </c>
      <c r="C531" s="12" t="s">
        <v>378</v>
      </c>
      <c r="D531" s="13" t="s">
        <v>468</v>
      </c>
      <c r="E531" s="12" t="s">
        <v>494</v>
      </c>
      <c r="F531" s="12" t="s">
        <v>500</v>
      </c>
      <c r="G531" s="12" t="s">
        <v>914</v>
      </c>
      <c r="H531" s="12" t="s">
        <v>914</v>
      </c>
      <c r="I531" s="12" t="s">
        <v>25</v>
      </c>
      <c r="J531" s="12" t="s">
        <v>25</v>
      </c>
    </row>
    <row customHeight="1" ht="33" r="532">
      <c r="B532" s="12">
        <f>HYPERLINK("https://gesdoc.uis.edu.co/share/page/folder-details?nodeRef=workspace://SpacesStore/273119fb-9d88-4179-ba37-3acce93e2931","0019_2026000106_3160")</f>
      </c>
      <c r="C532" s="12" t="s">
        <v>379</v>
      </c>
      <c r="D532" s="13" t="s">
        <v>440</v>
      </c>
      <c r="E532" s="12" t="s">
        <v>494</v>
      </c>
      <c r="F532" s="12" t="s">
        <v>498</v>
      </c>
      <c r="G532" s="12" t="s">
        <v>915</v>
      </c>
      <c r="H532" s="12" t="s">
        <v>1206</v>
      </c>
      <c r="I532" s="12" t="s">
        <v>25</v>
      </c>
      <c r="J532" s="12" t="s">
        <v>25</v>
      </c>
    </row>
    <row customHeight="1" ht="33" r="533">
      <c r="B533" s="12">
        <f>HYPERLINK("https://gesdoc.uis.edu.co/share/page/folder-details?nodeRef=workspace://SpacesStore/fd4fb052-23d7-4a6c-bfbf-3008f1b600a6","450_2026000088")</f>
      </c>
      <c r="C533" s="12" t="s">
        <v>25</v>
      </c>
      <c r="D533" s="13" t="s">
        <v>460</v>
      </c>
      <c r="E533" s="12" t="s">
        <v>494</v>
      </c>
      <c r="F533" s="12" t="s">
        <v>502</v>
      </c>
      <c r="G533" s="12" t="s">
        <v>916</v>
      </c>
      <c r="H533" s="12" t="s">
        <v>1206</v>
      </c>
      <c r="I533" s="12" t="s">
        <v>25</v>
      </c>
      <c r="J533" s="12" t="s">
        <v>25</v>
      </c>
    </row>
    <row customHeight="1" ht="33" r="534">
      <c r="B534" s="12">
        <f>HYPERLINK("https://gesdoc.uis.edu.co/share/page/folder-details?nodeRef=workspace://SpacesStore/f8e379a5-8007-4b34-a117-813179b1b1a2","0018_2026002478_9260")</f>
      </c>
      <c r="C534" s="12" t="s">
        <v>380</v>
      </c>
      <c r="D534" s="13" t="s">
        <v>446</v>
      </c>
      <c r="E534" s="12" t="s">
        <v>494</v>
      </c>
      <c r="F534" s="12" t="s">
        <v>500</v>
      </c>
      <c r="G534" s="12" t="s">
        <v>917</v>
      </c>
      <c r="H534" s="12" t="s">
        <v>896</v>
      </c>
      <c r="I534" s="12" t="s">
        <v>25</v>
      </c>
      <c r="J534" s="12" t="s">
        <v>25</v>
      </c>
    </row>
    <row customHeight="1" ht="33" r="535">
      <c r="B535" s="12">
        <f>HYPERLINK("https://gesdoc.uis.edu.co/share/page/folder-details?nodeRef=workspace://SpacesStore/f8e9e442-e967-4ac2-87b8-1218d3d7ef7d","2026011145_2250")</f>
      </c>
      <c r="C535" s="12" t="s">
        <v>25</v>
      </c>
      <c r="D535" s="13" t="s">
        <v>464</v>
      </c>
      <c r="E535" s="12" t="s">
        <v>494</v>
      </c>
      <c r="F535" s="12" t="s">
        <v>501</v>
      </c>
      <c r="G535" s="12" t="s">
        <v>675</v>
      </c>
      <c r="H535" s="12" t="s">
        <v>1206</v>
      </c>
      <c r="I535" s="12" t="s">
        <v>25</v>
      </c>
      <c r="J535" s="12" t="s">
        <v>25</v>
      </c>
    </row>
    <row customHeight="1" ht="33" r="536">
      <c r="B536" s="12">
        <f>HYPERLINK("https://gesdoc.uis.edu.co/share/page/folder-details?nodeRef=workspace://SpacesStore/96ba26c1-cc5c-484f-8fa6-3b0330cfd988","0020_2026000348_7063")</f>
      </c>
      <c r="C536" s="12" t="s">
        <v>381</v>
      </c>
      <c r="D536" s="13" t="s">
        <v>476</v>
      </c>
      <c r="E536" s="12" t="s">
        <v>494</v>
      </c>
      <c r="F536" s="12" t="s">
        <v>495</v>
      </c>
      <c r="G536" s="12" t="s">
        <v>918</v>
      </c>
      <c r="H536" s="12" t="s">
        <v>1207</v>
      </c>
      <c r="I536" s="12" t="s">
        <v>25</v>
      </c>
      <c r="J536" s="12" t="s">
        <v>25</v>
      </c>
    </row>
    <row customHeight="1" ht="33" r="537">
      <c r="B537" s="12">
        <f>HYPERLINK("https://gesdoc.uis.edu.co/share/page/folder-details?nodeRef=workspace://SpacesStore/57d0ddc7-76ef-4fcb-9375-0c3e3a94b625","2026011628_2250")</f>
      </c>
      <c r="C537" s="12" t="s">
        <v>25</v>
      </c>
      <c r="D537" s="13" t="s">
        <v>464</v>
      </c>
      <c r="E537" s="12" t="s">
        <v>494</v>
      </c>
      <c r="F537" s="12" t="s">
        <v>501</v>
      </c>
      <c r="G537" s="12" t="s">
        <v>919</v>
      </c>
      <c r="H537" s="12" t="s">
        <v>1208</v>
      </c>
      <c r="I537" s="12" t="s">
        <v>25</v>
      </c>
      <c r="J537" s="12" t="s">
        <v>25</v>
      </c>
    </row>
    <row customHeight="1" ht="33" r="538">
      <c r="B538" s="12">
        <f>HYPERLINK("https://gesdoc.uis.edu.co/share/page/folder-details?nodeRef=workspace://SpacesStore/234ad7b5-0e15-4fad-8005-095825e01517","20_2026000341")</f>
      </c>
      <c r="C538" s="12" t="s">
        <v>25</v>
      </c>
      <c r="D538" s="13" t="s">
        <v>482</v>
      </c>
      <c r="E538" s="12" t="s">
        <v>494</v>
      </c>
      <c r="F538" s="12" t="s">
        <v>495</v>
      </c>
      <c r="G538" s="12" t="s">
        <v>920</v>
      </c>
      <c r="H538" s="12" t="s">
        <v>1209</v>
      </c>
      <c r="I538" s="12" t="s">
        <v>25</v>
      </c>
      <c r="J538" s="12" t="s">
        <v>25</v>
      </c>
    </row>
    <row customHeight="1" ht="33" r="539">
      <c r="B539" s="12">
        <f>HYPERLINK("https://gesdoc.uis.edu.co/share/page/folder-details?nodeRef=workspace://SpacesStore/1e595d23-ba19-4e4d-b172-2980cbaf433f","2026011677_2250")</f>
      </c>
      <c r="C539" s="12" t="s">
        <v>25</v>
      </c>
      <c r="D539" s="13" t="s">
        <v>464</v>
      </c>
      <c r="E539" s="12" t="s">
        <v>494</v>
      </c>
      <c r="F539" s="12" t="s">
        <v>501</v>
      </c>
      <c r="G539" s="12" t="s">
        <v>921</v>
      </c>
      <c r="H539" s="12" t="s">
        <v>1210</v>
      </c>
      <c r="I539" s="12" t="s">
        <v>25</v>
      </c>
      <c r="J539" s="12" t="s">
        <v>25</v>
      </c>
    </row>
    <row customHeight="1" ht="33" r="540">
      <c r="B540" s="12">
        <f>HYPERLINK("https://gesdoc.uis.edu.co/share/page/folder-details?nodeRef=workspace://SpacesStore/1be1ba84-d160-40c3-8bc1-08ec27e28f1d","0018_2026002457_3140")</f>
      </c>
      <c r="C540" s="12" t="s">
        <v>382</v>
      </c>
      <c r="D540" s="13" t="s">
        <v>445</v>
      </c>
      <c r="E540" s="12" t="s">
        <v>494</v>
      </c>
      <c r="F540" s="12" t="s">
        <v>500</v>
      </c>
      <c r="G540" s="12" t="s">
        <v>922</v>
      </c>
      <c r="H540" s="12" t="s">
        <v>1211</v>
      </c>
      <c r="I540" s="12" t="s">
        <v>25</v>
      </c>
      <c r="J540" s="12" t="s">
        <v>25</v>
      </c>
    </row>
    <row customHeight="1" ht="33" r="541">
      <c r="B541" s="12">
        <f>HYPERLINK("https://gesdoc.uis.edu.co/share/page/folder-details?nodeRef=workspace://SpacesStore/802f2e59-edf8-4234-9180-e8e134e7c662","2026011764_2250")</f>
      </c>
      <c r="C541" s="12" t="s">
        <v>25</v>
      </c>
      <c r="D541" s="13" t="s">
        <v>464</v>
      </c>
      <c r="E541" s="12" t="s">
        <v>494</v>
      </c>
      <c r="F541" s="12" t="s">
        <v>501</v>
      </c>
      <c r="G541" s="12" t="s">
        <v>923</v>
      </c>
      <c r="H541" s="12" t="s">
        <v>923</v>
      </c>
      <c r="I541" s="12" t="s">
        <v>25</v>
      </c>
      <c r="J541" s="12" t="s">
        <v>25</v>
      </c>
    </row>
    <row customHeight="1" ht="33" r="542">
      <c r="B542" s="12">
        <f>HYPERLINK("https://gesdoc.uis.edu.co/share/page/folder-details?nodeRef=workspace://SpacesStore/44b3c252-3c9f-42ec-8a79-46bbfc611f0d","2026011763_2250")</f>
      </c>
      <c r="C542" s="12" t="s">
        <v>25</v>
      </c>
      <c r="D542" s="13" t="s">
        <v>464</v>
      </c>
      <c r="E542" s="12" t="s">
        <v>494</v>
      </c>
      <c r="F542" s="12" t="s">
        <v>501</v>
      </c>
      <c r="G542" s="12" t="s">
        <v>924</v>
      </c>
      <c r="H542" s="12" t="s">
        <v>924</v>
      </c>
      <c r="I542" s="12" t="s">
        <v>25</v>
      </c>
      <c r="J542" s="12" t="s">
        <v>25</v>
      </c>
    </row>
    <row customHeight="1" ht="33" r="543">
      <c r="B543" s="12">
        <f>HYPERLINK("https://gesdoc.uis.edu.co/share/page/folder-details?nodeRef=workspace://SpacesStore/1fd8cb4b-dd2b-422e-baae-6441dafed9ac","2026011765_2250")</f>
      </c>
      <c r="C543" s="12" t="s">
        <v>25</v>
      </c>
      <c r="D543" s="13" t="s">
        <v>464</v>
      </c>
      <c r="E543" s="12" t="s">
        <v>494</v>
      </c>
      <c r="F543" s="12" t="s">
        <v>501</v>
      </c>
      <c r="G543" s="12" t="s">
        <v>923</v>
      </c>
      <c r="H543" s="12" t="s">
        <v>923</v>
      </c>
      <c r="I543" s="12" t="s">
        <v>25</v>
      </c>
      <c r="J543" s="12" t="s">
        <v>25</v>
      </c>
    </row>
    <row customHeight="1" ht="33" r="544">
      <c r="B544" s="12">
        <f>HYPERLINK("https://gesdoc.uis.edu.co/share/page/folder-details?nodeRef=workspace://SpacesStore/0f47c2c4-d1c0-4ec4-896b-d49b8e267edc","0019_2026000113_7854")</f>
      </c>
      <c r="C544" s="12" t="s">
        <v>383</v>
      </c>
      <c r="D544" s="13" t="s">
        <v>474</v>
      </c>
      <c r="E544" s="12" t="s">
        <v>494</v>
      </c>
      <c r="F544" s="12" t="s">
        <v>498</v>
      </c>
      <c r="G544" s="12" t="s">
        <v>925</v>
      </c>
      <c r="H544" s="12" t="s">
        <v>1212</v>
      </c>
      <c r="I544" s="12" t="s">
        <v>25</v>
      </c>
      <c r="J544" s="12" t="s">
        <v>25</v>
      </c>
    </row>
    <row customHeight="1" ht="33" r="545">
      <c r="B545" s="12">
        <f>HYPERLINK("https://gesdoc.uis.edu.co/share/page/folder-details?nodeRef=workspace://SpacesStore/6912413e-dc43-4adb-8de6-f2e3931d4aaf","0234_2026011770_7837")</f>
      </c>
      <c r="C545" s="12" t="s">
        <v>384</v>
      </c>
      <c r="D545" s="13" t="s">
        <v>438</v>
      </c>
      <c r="E545" s="12" t="s">
        <v>494</v>
      </c>
      <c r="F545" s="12" t="s">
        <v>501</v>
      </c>
      <c r="G545" s="12" t="s">
        <v>926</v>
      </c>
      <c r="H545" s="12" t="s">
        <v>926</v>
      </c>
      <c r="I545" s="12" t="s">
        <v>25</v>
      </c>
      <c r="J545" s="12" t="s">
        <v>25</v>
      </c>
    </row>
    <row customHeight="1" ht="33" r="546">
      <c r="B546" s="12">
        <f>HYPERLINK("https://gesdoc.uis.edu.co/share/page/folder-details?nodeRef=workspace://SpacesStore/fb0edcc1-b6e2-46d5-bd1e-b17774b0eeee","0234_2026011469_2240")</f>
      </c>
      <c r="C546" s="12" t="s">
        <v>385</v>
      </c>
      <c r="D546" s="13" t="s">
        <v>438</v>
      </c>
      <c r="E546" s="12" t="s">
        <v>494</v>
      </c>
      <c r="F546" s="12" t="s">
        <v>501</v>
      </c>
      <c r="G546" s="12" t="s">
        <v>595</v>
      </c>
      <c r="H546" s="12" t="s">
        <v>926</v>
      </c>
      <c r="I546" s="12" t="s">
        <v>25</v>
      </c>
      <c r="J546" s="12" t="s">
        <v>25</v>
      </c>
    </row>
    <row customHeight="1" ht="33" r="547">
      <c r="B547" s="12">
        <f>HYPERLINK("https://gesdoc.uis.edu.co/share/page/folder-details?nodeRef=workspace://SpacesStore/22b5fd82-8e00-4137-94e2-f8700be9563a","0234_2026011733_2240")</f>
      </c>
      <c r="C547" s="12" t="s">
        <v>386</v>
      </c>
      <c r="D547" s="13" t="s">
        <v>438</v>
      </c>
      <c r="E547" s="12" t="s">
        <v>494</v>
      </c>
      <c r="F547" s="12" t="s">
        <v>501</v>
      </c>
      <c r="G547" s="12" t="s">
        <v>926</v>
      </c>
      <c r="H547" s="12" t="s">
        <v>926</v>
      </c>
      <c r="I547" s="12" t="s">
        <v>25</v>
      </c>
      <c r="J547" s="12" t="s">
        <v>25</v>
      </c>
    </row>
    <row customHeight="1" ht="33" r="548">
      <c r="B548" s="12">
        <f>HYPERLINK("https://gesdoc.uis.edu.co/share/page/folder-details?nodeRef=workspace://SpacesStore/90c8b700-f221-45c4-a88e-4eeedecad0da","0020_2026000350_7854")</f>
      </c>
      <c r="C548" s="12" t="s">
        <v>387</v>
      </c>
      <c r="D548" s="13" t="s">
        <v>474</v>
      </c>
      <c r="E548" s="12" t="s">
        <v>494</v>
      </c>
      <c r="F548" s="12" t="s">
        <v>495</v>
      </c>
      <c r="G548" s="12" t="s">
        <v>927</v>
      </c>
      <c r="H548" s="12" t="s">
        <v>1213</v>
      </c>
      <c r="I548" s="12" t="s">
        <v>25</v>
      </c>
      <c r="J548" s="12" t="s">
        <v>25</v>
      </c>
    </row>
    <row customHeight="1" ht="33" r="549">
      <c r="B549" s="12">
        <f>HYPERLINK("https://gesdoc.uis.edu.co/share/page/folder-details?nodeRef=workspace://SpacesStore/17259d37-092f-4288-af40-63dd982f8cc0","0020_2026000337_6861")</f>
      </c>
      <c r="C549" s="12" t="s">
        <v>388</v>
      </c>
      <c r="D549" s="13" t="s">
        <v>487</v>
      </c>
      <c r="E549" s="12" t="s">
        <v>494</v>
      </c>
      <c r="F549" s="12" t="s">
        <v>495</v>
      </c>
      <c r="G549" s="12" t="s">
        <v>928</v>
      </c>
      <c r="H549" s="12" t="s">
        <v>1214</v>
      </c>
      <c r="I549" s="12" t="s">
        <v>25</v>
      </c>
      <c r="J549" s="12" t="s">
        <v>25</v>
      </c>
    </row>
    <row customHeight="1" ht="33" r="550">
      <c r="B550" s="12">
        <f>HYPERLINK("https://gesdoc.uis.edu.co/share/page/folder-details?nodeRef=workspace://SpacesStore/79fcb946-f530-4922-b66f-4d8caf17a251","0018_2026002399_9198")</f>
      </c>
      <c r="C550" s="12" t="s">
        <v>389</v>
      </c>
      <c r="D550" s="13" t="s">
        <v>444</v>
      </c>
      <c r="E550" s="12" t="s">
        <v>494</v>
      </c>
      <c r="F550" s="12" t="s">
        <v>500</v>
      </c>
      <c r="G550" s="12" t="s">
        <v>929</v>
      </c>
      <c r="H550" s="12" t="s">
        <v>1215</v>
      </c>
      <c r="I550" s="12" t="s">
        <v>25</v>
      </c>
      <c r="J550" s="12" t="s">
        <v>25</v>
      </c>
    </row>
    <row customHeight="1" ht="33" r="551">
      <c r="B551" s="12">
        <f>HYPERLINK("https://gesdoc.uis.edu.co/share/page/folder-details?nodeRef=workspace://SpacesStore/89cd86a0-aeb6-4dd2-9b08-6832093958d4","0020_2026000330_2220")</f>
      </c>
      <c r="C551" s="12" t="s">
        <v>390</v>
      </c>
      <c r="D551" s="13" t="s">
        <v>488</v>
      </c>
      <c r="E551" s="12" t="s">
        <v>494</v>
      </c>
      <c r="F551" s="12" t="s">
        <v>495</v>
      </c>
      <c r="G551" s="12" t="s">
        <v>930</v>
      </c>
      <c r="H551" s="12" t="s">
        <v>930</v>
      </c>
      <c r="I551" s="12" t="s">
        <v>25</v>
      </c>
      <c r="J551" s="12" t="s">
        <v>25</v>
      </c>
    </row>
    <row customHeight="1" ht="33" r="552">
      <c r="B552" s="12">
        <f>HYPERLINK("https://gesdoc.uis.edu.co/share/page/folder-details?nodeRef=workspace://SpacesStore/997943ea-33d1-4b76-807b-f59bfee7de34","0020_2026000355_7061")</f>
      </c>
      <c r="C552" s="12" t="s">
        <v>391</v>
      </c>
      <c r="D552" s="13" t="s">
        <v>489</v>
      </c>
      <c r="E552" s="12" t="s">
        <v>494</v>
      </c>
      <c r="F552" s="12" t="s">
        <v>495</v>
      </c>
      <c r="G552" s="12" t="s">
        <v>931</v>
      </c>
      <c r="H552" s="12" t="s">
        <v>930</v>
      </c>
      <c r="I552" s="12" t="s">
        <v>25</v>
      </c>
      <c r="J552" s="12" t="s">
        <v>25</v>
      </c>
    </row>
    <row customHeight="1" ht="33" r="553">
      <c r="B553" s="12">
        <f>HYPERLINK("https://gesdoc.uis.edu.co/share/page/folder-details?nodeRef=workspace://SpacesStore/08d9b2cb-10ef-4b3c-8cfc-9629b4292f9c","0020_2026000312_2220")</f>
      </c>
      <c r="C553" s="12" t="s">
        <v>392</v>
      </c>
      <c r="D553" s="13" t="s">
        <v>488</v>
      </c>
      <c r="E553" s="12" t="s">
        <v>494</v>
      </c>
      <c r="F553" s="12" t="s">
        <v>495</v>
      </c>
      <c r="G553" s="12" t="s">
        <v>930</v>
      </c>
      <c r="H553" s="12" t="s">
        <v>930</v>
      </c>
      <c r="I553" s="12" t="s">
        <v>25</v>
      </c>
      <c r="J553" s="12" t="s">
        <v>25</v>
      </c>
    </row>
    <row customHeight="1" ht="33" r="554">
      <c r="B554" s="12">
        <f>HYPERLINK("https://gesdoc.uis.edu.co/share/page/folder-details?nodeRef=workspace://SpacesStore/c7d716da-bf3d-4d83-9e81-f6a1d84704e3","0020_2026000317_2220")</f>
      </c>
      <c r="C554" s="12" t="s">
        <v>393</v>
      </c>
      <c r="D554" s="13" t="s">
        <v>488</v>
      </c>
      <c r="E554" s="12" t="s">
        <v>494</v>
      </c>
      <c r="F554" s="12" t="s">
        <v>495</v>
      </c>
      <c r="G554" s="12" t="s">
        <v>930</v>
      </c>
      <c r="H554" s="12" t="s">
        <v>930</v>
      </c>
      <c r="I554" s="12" t="s">
        <v>25</v>
      </c>
      <c r="J554" s="12" t="s">
        <v>25</v>
      </c>
    </row>
    <row customHeight="1" ht="33" r="555">
      <c r="B555" s="12">
        <f>HYPERLINK("https://gesdoc.uis.edu.co/share/page/folder-details?nodeRef=workspace://SpacesStore/dd9f5015-0195-41df-a0a4-6ac84fb3f0c6","0049_2026000022_9870")</f>
      </c>
      <c r="C555" s="12" t="s">
        <v>394</v>
      </c>
      <c r="D555" s="13" t="s">
        <v>439</v>
      </c>
      <c r="E555" s="12" t="s">
        <v>494</v>
      </c>
      <c r="F555" s="12" t="s">
        <v>505</v>
      </c>
      <c r="G555" s="12" t="s">
        <v>932</v>
      </c>
      <c r="H555" s="12" t="s">
        <v>932</v>
      </c>
      <c r="I555" s="12" t="s">
        <v>25</v>
      </c>
      <c r="J555" s="12" t="s">
        <v>25</v>
      </c>
    </row>
    <row customHeight="1" ht="33" r="556">
      <c r="B556" s="12">
        <f>HYPERLINK("https://gesdoc.uis.edu.co/share/page/folder-details?nodeRef=workspace://SpacesStore/26fc142f-cb34-413f-82b6-d020a0997622","0020_2026000338_6861")</f>
      </c>
      <c r="C556" s="12" t="s">
        <v>395</v>
      </c>
      <c r="D556" s="13" t="s">
        <v>487</v>
      </c>
      <c r="E556" s="12" t="s">
        <v>494</v>
      </c>
      <c r="F556" s="12" t="s">
        <v>495</v>
      </c>
      <c r="G556" s="12" t="s">
        <v>933</v>
      </c>
      <c r="H556" s="12" t="s">
        <v>1216</v>
      </c>
      <c r="I556" s="12" t="s">
        <v>25</v>
      </c>
      <c r="J556" s="12" t="s">
        <v>25</v>
      </c>
    </row>
    <row customHeight="1" ht="33" r="557">
      <c r="B557" s="12">
        <f>HYPERLINK("https://gesdoc.uis.edu.co/share/page/folder-details?nodeRef=workspace://SpacesStore/03736b09-844f-4645-8cda-1d041c206f6c","0020_2026000354_7083")</f>
      </c>
      <c r="C557" s="12" t="s">
        <v>396</v>
      </c>
      <c r="D557" s="13" t="s">
        <v>444</v>
      </c>
      <c r="E557" s="12" t="s">
        <v>494</v>
      </c>
      <c r="F557" s="12" t="s">
        <v>495</v>
      </c>
      <c r="G557" s="12" t="s">
        <v>934</v>
      </c>
      <c r="H557" s="12" t="s">
        <v>934</v>
      </c>
      <c r="I557" s="12" t="s">
        <v>25</v>
      </c>
      <c r="J557" s="12" t="s">
        <v>25</v>
      </c>
    </row>
    <row customHeight="1" ht="33" r="558">
      <c r="B558" s="12">
        <f>HYPERLINK("https://gesdoc.uis.edu.co/share/page/folder-details?nodeRef=workspace://SpacesStore/51dd510e-4a8e-4dbf-a4c4-8e885474e300","0018_2026002465_7854")</f>
      </c>
      <c r="C558" s="12" t="s">
        <v>397</v>
      </c>
      <c r="D558" s="13" t="s">
        <v>474</v>
      </c>
      <c r="E558" s="12" t="s">
        <v>494</v>
      </c>
      <c r="F558" s="12" t="s">
        <v>500</v>
      </c>
      <c r="G558" s="12" t="s">
        <v>935</v>
      </c>
      <c r="H558" s="12" t="s">
        <v>1217</v>
      </c>
      <c r="I558" s="12" t="s">
        <v>25</v>
      </c>
      <c r="J558" s="12" t="s">
        <v>25</v>
      </c>
    </row>
    <row customHeight="1" ht="33" r="559">
      <c r="B559" s="12">
        <f>HYPERLINK("https://gesdoc.uis.edu.co/share/page/folder-details?nodeRef=workspace://SpacesStore/a14aad61-081e-4251-9752-2496bc339009","0018_2026002437_9285")</f>
      </c>
      <c r="C559" s="12" t="s">
        <v>398</v>
      </c>
      <c r="D559" s="13" t="s">
        <v>479</v>
      </c>
      <c r="E559" s="12" t="s">
        <v>494</v>
      </c>
      <c r="F559" s="12" t="s">
        <v>500</v>
      </c>
      <c r="G559" s="12" t="s">
        <v>936</v>
      </c>
      <c r="H559" s="12" t="s">
        <v>936</v>
      </c>
      <c r="I559" s="12" t="s">
        <v>25</v>
      </c>
      <c r="J559" s="12" t="s">
        <v>25</v>
      </c>
    </row>
    <row customHeight="1" ht="33" r="560">
      <c r="B560" s="12">
        <f>HYPERLINK("https://gesdoc.uis.edu.co/share/page/folder-details?nodeRef=workspace://SpacesStore/0d1a8264-2c94-4a26-bc23-6e220b278bff","0049_2026000023_8095")</f>
      </c>
      <c r="C560" s="12" t="s">
        <v>399</v>
      </c>
      <c r="D560" s="13" t="s">
        <v>439</v>
      </c>
      <c r="E560" s="12" t="s">
        <v>494</v>
      </c>
      <c r="F560" s="12" t="s">
        <v>505</v>
      </c>
      <c r="G560" s="12" t="s">
        <v>937</v>
      </c>
      <c r="H560" s="12" t="s">
        <v>1218</v>
      </c>
      <c r="I560" s="12" t="s">
        <v>25</v>
      </c>
      <c r="J560" s="12" t="s">
        <v>25</v>
      </c>
    </row>
    <row customHeight="1" ht="33" r="561">
      <c r="B561" s="12">
        <f>HYPERLINK("https://gesdoc.uis.edu.co/share/page/folder-details?nodeRef=workspace://SpacesStore/3158c541-26d0-4c69-adbf-4339168489c3","0234_2026011482_7966")</f>
      </c>
      <c r="C561" s="12" t="s">
        <v>400</v>
      </c>
      <c r="D561" s="13" t="s">
        <v>449</v>
      </c>
      <c r="E561" s="12" t="s">
        <v>494</v>
      </c>
      <c r="F561" s="12" t="s">
        <v>501</v>
      </c>
      <c r="G561" s="12" t="s">
        <v>938</v>
      </c>
      <c r="H561" s="12" t="s">
        <v>938</v>
      </c>
      <c r="I561" s="12" t="s">
        <v>25</v>
      </c>
      <c r="J561" s="12" t="s">
        <v>25</v>
      </c>
    </row>
    <row customHeight="1" ht="33" r="562">
      <c r="B562" s="12">
        <f>HYPERLINK("https://gesdoc.uis.edu.co/share/page/folder-details?nodeRef=workspace://SpacesStore/c7c521a4-16fc-44ed-8162-729f637aaf5a","0234_2026010066_7807")</f>
      </c>
      <c r="C562" s="12" t="s">
        <v>401</v>
      </c>
      <c r="D562" s="13" t="s">
        <v>449</v>
      </c>
      <c r="E562" s="12" t="s">
        <v>494</v>
      </c>
      <c r="F562" s="12" t="s">
        <v>501</v>
      </c>
      <c r="G562" s="12" t="s">
        <v>938</v>
      </c>
      <c r="H562" s="12" t="s">
        <v>938</v>
      </c>
      <c r="I562" s="12" t="s">
        <v>25</v>
      </c>
      <c r="J562" s="12" t="s">
        <v>25</v>
      </c>
    </row>
    <row customHeight="1" ht="33" r="563">
      <c r="B563" s="12">
        <f>HYPERLINK("https://gesdoc.uis.edu.co/share/page/folder-details?nodeRef=workspace://SpacesStore/938aaed2-0200-4a67-a633-bfca4335bc23","0234_2026010697_7807")</f>
      </c>
      <c r="C563" s="12" t="s">
        <v>402</v>
      </c>
      <c r="D563" s="13" t="s">
        <v>449</v>
      </c>
      <c r="E563" s="12" t="s">
        <v>494</v>
      </c>
      <c r="F563" s="12" t="s">
        <v>501</v>
      </c>
      <c r="G563" s="12" t="s">
        <v>938</v>
      </c>
      <c r="H563" s="12" t="s">
        <v>938</v>
      </c>
      <c r="I563" s="12" t="s">
        <v>25</v>
      </c>
      <c r="J563" s="12" t="s">
        <v>25</v>
      </c>
    </row>
    <row customHeight="1" ht="33" r="564">
      <c r="B564" s="12">
        <f>HYPERLINK("https://gesdoc.uis.edu.co/share/page/folder-details?nodeRef=workspace://SpacesStore/89153bfc-28c0-4b05-ac5e-dd999dbdae18","0234_2026010170_7807")</f>
      </c>
      <c r="C564" s="12" t="s">
        <v>403</v>
      </c>
      <c r="D564" s="13" t="s">
        <v>449</v>
      </c>
      <c r="E564" s="12" t="s">
        <v>494</v>
      </c>
      <c r="F564" s="12" t="s">
        <v>501</v>
      </c>
      <c r="G564" s="12" t="s">
        <v>938</v>
      </c>
      <c r="H564" s="12" t="s">
        <v>938</v>
      </c>
      <c r="I564" s="12" t="s">
        <v>25</v>
      </c>
      <c r="J564" s="12" t="s">
        <v>25</v>
      </c>
    </row>
    <row customHeight="1" ht="33" r="565">
      <c r="B565" s="12">
        <f>HYPERLINK("https://gesdoc.uis.edu.co/share/page/folder-details?nodeRef=workspace://SpacesStore/68155ded-dda1-45ed-a796-6248e124ede1","0234_2026010464_7807")</f>
      </c>
      <c r="C565" s="12" t="s">
        <v>404</v>
      </c>
      <c r="D565" s="13" t="s">
        <v>449</v>
      </c>
      <c r="E565" s="12" t="s">
        <v>494</v>
      </c>
      <c r="F565" s="12" t="s">
        <v>501</v>
      </c>
      <c r="G565" s="12" t="s">
        <v>938</v>
      </c>
      <c r="H565" s="12" t="s">
        <v>938</v>
      </c>
      <c r="I565" s="12" t="s">
        <v>25</v>
      </c>
      <c r="J565" s="12" t="s">
        <v>25</v>
      </c>
    </row>
    <row customHeight="1" ht="33" r="566">
      <c r="B566" s="12">
        <f>HYPERLINK("https://gesdoc.uis.edu.co/share/page/folder-details?nodeRef=workspace://SpacesStore/e00cb672-6ed6-45c0-9a4a-5162df9ef3d3","2026011502_7930")</f>
      </c>
      <c r="C566" s="12" t="s">
        <v>25</v>
      </c>
      <c r="D566" s="13" t="s">
        <v>464</v>
      </c>
      <c r="E566" s="12" t="s">
        <v>494</v>
      </c>
      <c r="F566" s="12" t="s">
        <v>501</v>
      </c>
      <c r="G566" s="12" t="s">
        <v>939</v>
      </c>
      <c r="H566" s="12" t="s">
        <v>1219</v>
      </c>
      <c r="I566" s="12" t="s">
        <v>25</v>
      </c>
      <c r="J566" s="12" t="s">
        <v>25</v>
      </c>
    </row>
    <row customHeight="1" ht="33" r="567">
      <c r="B567" s="12">
        <f>HYPERLINK("https://gesdoc.uis.edu.co/share/page/folder-details?nodeRef=workspace://SpacesStore/be15379f-db3d-4101-a199-943655ec0d0d","2025000235_9702")</f>
      </c>
      <c r="C567" s="12" t="s">
        <v>25</v>
      </c>
      <c r="D567" s="13" t="s">
        <v>454</v>
      </c>
      <c r="E567" s="12" t="s">
        <v>494</v>
      </c>
      <c r="F567" s="12" t="s">
        <v>504</v>
      </c>
      <c r="G567" s="12" t="s">
        <v>940</v>
      </c>
      <c r="H567" s="12" t="s">
        <v>940</v>
      </c>
      <c r="I567" s="12" t="s">
        <v>25</v>
      </c>
      <c r="J567" s="12" t="s">
        <v>25</v>
      </c>
    </row>
    <row customHeight="1" ht="33" r="568">
      <c r="B568" s="12">
        <f>HYPERLINK("https://gesdoc.uis.edu.co/share/page/folder-details?nodeRef=workspace://SpacesStore/948d43d0-5226-4e72-9c50-65377f0bc376","0018_2026002487_9109")</f>
      </c>
      <c r="C568" s="12" t="s">
        <v>405</v>
      </c>
      <c r="D568" s="13" t="s">
        <v>486</v>
      </c>
      <c r="E568" s="12" t="s">
        <v>494</v>
      </c>
      <c r="F568" s="12" t="s">
        <v>500</v>
      </c>
      <c r="G568" s="12" t="s">
        <v>941</v>
      </c>
      <c r="H568" s="12" t="s">
        <v>1220</v>
      </c>
      <c r="I568" s="12" t="s">
        <v>25</v>
      </c>
      <c r="J568" s="12" t="s">
        <v>25</v>
      </c>
    </row>
    <row customHeight="1" ht="33" r="569">
      <c r="B569" s="12">
        <f>HYPERLINK("https://gesdoc.uis.edu.co/share/page/folder-details?nodeRef=workspace://SpacesStore/f12f47db-90d9-45bc-a460-139ca780d75b","0020_2026000362_7858")</f>
      </c>
      <c r="C569" s="12" t="s">
        <v>406</v>
      </c>
      <c r="D569" s="13" t="s">
        <v>490</v>
      </c>
      <c r="E569" s="12" t="s">
        <v>494</v>
      </c>
      <c r="F569" s="12" t="s">
        <v>495</v>
      </c>
      <c r="G569" s="12" t="s">
        <v>942</v>
      </c>
      <c r="H569" s="12" t="s">
        <v>1221</v>
      </c>
      <c r="I569" s="12" t="s">
        <v>25</v>
      </c>
      <c r="J569" s="12" t="s">
        <v>25</v>
      </c>
    </row>
    <row customHeight="1" ht="33" r="570">
      <c r="B570" s="12">
        <f>HYPERLINK("https://gesdoc.uis.edu.co/share/page/folder-details?nodeRef=workspace://SpacesStore/2a4378a0-5065-4602-8f91-aeccd5175580","0018_2026002429_3140")</f>
      </c>
      <c r="C570" s="12" t="s">
        <v>407</v>
      </c>
      <c r="D570" s="13" t="s">
        <v>445</v>
      </c>
      <c r="E570" s="12" t="s">
        <v>494</v>
      </c>
      <c r="F570" s="12" t="s">
        <v>500</v>
      </c>
      <c r="G570" s="12" t="s">
        <v>931</v>
      </c>
      <c r="H570" s="12" t="s">
        <v>1222</v>
      </c>
      <c r="I570" s="12" t="s">
        <v>25</v>
      </c>
      <c r="J570" s="12" t="s">
        <v>25</v>
      </c>
    </row>
    <row customHeight="1" ht="33" r="571">
      <c r="B571" s="12">
        <f>HYPERLINK("https://gesdoc.uis.edu.co/share/page/folder-details?nodeRef=workspace://SpacesStore/10f54888-a876-4fca-a158-282f86d3ead8","0298_2026000255_3160_EV046")</f>
      </c>
      <c r="C571" s="12" t="s">
        <v>408</v>
      </c>
      <c r="D571" s="13" t="s">
        <v>440</v>
      </c>
      <c r="E571" s="12" t="s">
        <v>494</v>
      </c>
      <c r="F571" s="12" t="s">
        <v>499</v>
      </c>
      <c r="G571" s="12" t="s">
        <v>943</v>
      </c>
      <c r="H571" s="12" t="s">
        <v>1223</v>
      </c>
      <c r="I571" s="12" t="s">
        <v>1256</v>
      </c>
      <c r="J571" s="12" t="s">
        <v>1263</v>
      </c>
    </row>
    <row customHeight="1" ht="33" r="572">
      <c r="B572" s="12">
        <f>HYPERLINK("https://gesdoc.uis.edu.co/share/page/folder-details?nodeRef=workspace://SpacesStore/3f39b63f-b18a-4a28-99f7-bd7b10bee98f","0002_2026002513_6869")</f>
      </c>
      <c r="C572" s="12" t="s">
        <v>409</v>
      </c>
      <c r="D572" s="13" t="s">
        <v>491</v>
      </c>
      <c r="E572" s="12" t="s">
        <v>494</v>
      </c>
      <c r="F572" s="12" t="s">
        <v>500</v>
      </c>
      <c r="G572" s="12" t="s">
        <v>944</v>
      </c>
      <c r="H572" s="12" t="s">
        <v>946</v>
      </c>
      <c r="I572" s="12" t="s">
        <v>25</v>
      </c>
      <c r="J572" s="12" t="s">
        <v>25</v>
      </c>
    </row>
    <row customHeight="1" ht="33" r="573">
      <c r="B573" s="12">
        <f>HYPERLINK("https://gesdoc.uis.edu.co/share/page/folder-details?nodeRef=workspace://SpacesStore/300ea36a-407e-49ff-aece-0c0994540a74","0003_2026002515_6869")</f>
      </c>
      <c r="C573" s="12" t="s">
        <v>410</v>
      </c>
      <c r="D573" s="13" t="s">
        <v>491</v>
      </c>
      <c r="E573" s="12" t="s">
        <v>494</v>
      </c>
      <c r="F573" s="12" t="s">
        <v>500</v>
      </c>
      <c r="G573" s="12" t="s">
        <v>945</v>
      </c>
      <c r="H573" s="12" t="s">
        <v>944</v>
      </c>
      <c r="I573" s="12" t="s">
        <v>25</v>
      </c>
      <c r="J573" s="12" t="s">
        <v>25</v>
      </c>
    </row>
    <row customHeight="1" ht="33" r="574">
      <c r="B574" s="12">
        <f>HYPERLINK("https://gesdoc.uis.edu.co/share/page/folder-details?nodeRef=workspace://SpacesStore/79c0e1d8-82dd-4b9b-aa62-9c7e4f6d715e","0001_2026002499_6869")</f>
      </c>
      <c r="C574" s="12" t="s">
        <v>411</v>
      </c>
      <c r="D574" s="13" t="s">
        <v>491</v>
      </c>
      <c r="E574" s="12" t="s">
        <v>494</v>
      </c>
      <c r="F574" s="12" t="s">
        <v>500</v>
      </c>
      <c r="G574" s="12" t="s">
        <v>946</v>
      </c>
      <c r="H574" s="12" t="s">
        <v>1224</v>
      </c>
      <c r="I574" s="12" t="s">
        <v>25</v>
      </c>
      <c r="J574" s="12" t="s">
        <v>25</v>
      </c>
    </row>
    <row customHeight="1" ht="33" r="575">
      <c r="B575" s="12">
        <f>HYPERLINK("https://gesdoc.uis.edu.co/share/page/folder-details?nodeRef=workspace://SpacesStore/5a0b8456-62c1-4a9b-88aa-c8b32609629f","0298_2026000253_3160_EV045")</f>
      </c>
      <c r="C575" s="12" t="s">
        <v>412</v>
      </c>
      <c r="D575" s="13" t="s">
        <v>440</v>
      </c>
      <c r="E575" s="12" t="s">
        <v>494</v>
      </c>
      <c r="F575" s="12" t="s">
        <v>499</v>
      </c>
      <c r="G575" s="12" t="s">
        <v>947</v>
      </c>
      <c r="H575" s="12" t="s">
        <v>1225</v>
      </c>
      <c r="I575" s="12" t="s">
        <v>1256</v>
      </c>
      <c r="J575" s="12" t="s">
        <v>1263</v>
      </c>
    </row>
    <row customHeight="1" ht="33" r="576">
      <c r="B576" s="12">
        <f>HYPERLINK("https://gesdoc.uis.edu.co/share/page/folder-details?nodeRef=workspace://SpacesStore/1e4638ea-fa0e-452b-9c03-7b8a3e69f1ea","2025000119_9701")</f>
      </c>
      <c r="C576" s="12" t="s">
        <v>25</v>
      </c>
      <c r="D576" s="13" t="s">
        <v>454</v>
      </c>
      <c r="E576" s="12" t="s">
        <v>494</v>
      </c>
      <c r="F576" s="12" t="s">
        <v>504</v>
      </c>
      <c r="G576" s="12" t="s">
        <v>948</v>
      </c>
      <c r="H576" s="12" t="s">
        <v>1226</v>
      </c>
      <c r="I576" s="12" t="s">
        <v>25</v>
      </c>
      <c r="J576" s="12" t="s">
        <v>25</v>
      </c>
    </row>
    <row customHeight="1" ht="33" r="577">
      <c r="B577" s="12">
        <f>HYPERLINK("https://gesdoc.uis.edu.co/share/page/folder-details?nodeRef=workspace://SpacesStore/18493fda-14ba-428d-bcb7-07b4c27a5791","2025000294_9701")</f>
      </c>
      <c r="C577" s="12" t="s">
        <v>25</v>
      </c>
      <c r="D577" s="13" t="s">
        <v>454</v>
      </c>
      <c r="E577" s="12" t="s">
        <v>494</v>
      </c>
      <c r="F577" s="12" t="s">
        <v>504</v>
      </c>
      <c r="G577" s="12" t="s">
        <v>949</v>
      </c>
      <c r="H577" s="12" t="s">
        <v>1227</v>
      </c>
      <c r="I577" s="12" t="s">
        <v>25</v>
      </c>
      <c r="J577" s="12" t="s">
        <v>25</v>
      </c>
    </row>
    <row customHeight="1" ht="33" r="578">
      <c r="B578" s="12">
        <f>HYPERLINK("https://gesdoc.uis.edu.co/share/page/folder-details?nodeRef=workspace://SpacesStore/0dc19917-c038-4cb2-bcc8-77c20b230a34","2025000232_9702")</f>
      </c>
      <c r="C578" s="12" t="s">
        <v>25</v>
      </c>
      <c r="D578" s="13" t="s">
        <v>454</v>
      </c>
      <c r="E578" s="12" t="s">
        <v>494</v>
      </c>
      <c r="F578" s="12" t="s">
        <v>504</v>
      </c>
      <c r="G578" s="12" t="s">
        <v>950</v>
      </c>
      <c r="H578" s="12" t="s">
        <v>950</v>
      </c>
      <c r="I578" s="12" t="s">
        <v>25</v>
      </c>
      <c r="J578" s="12" t="s">
        <v>25</v>
      </c>
    </row>
    <row customHeight="1" ht="33" r="579">
      <c r="B579" s="12">
        <f>HYPERLINK("https://gesdoc.uis.edu.co/share/page/folder-details?nodeRef=workspace://SpacesStore/e5bad7d5-54c8-4438-ab62-71ca1fa5b564","2025000249_9701")</f>
      </c>
      <c r="C579" s="12" t="s">
        <v>25</v>
      </c>
      <c r="D579" s="13" t="s">
        <v>454</v>
      </c>
      <c r="E579" s="12" t="s">
        <v>494</v>
      </c>
      <c r="F579" s="12" t="s">
        <v>504</v>
      </c>
      <c r="G579" s="12" t="s">
        <v>951</v>
      </c>
      <c r="H579" s="12" t="s">
        <v>1228</v>
      </c>
      <c r="I579" s="12" t="s">
        <v>25</v>
      </c>
      <c r="J579" s="12" t="s">
        <v>25</v>
      </c>
    </row>
    <row customHeight="1" ht="33" r="580">
      <c r="B580" s="12">
        <f>HYPERLINK("https://gesdoc.uis.edu.co/share/page/folder-details?nodeRef=workspace://SpacesStore/4852a6c1-aaf3-4710-82a7-c13a7fbcb24f","0018_2026002340_7085")</f>
      </c>
      <c r="C580" s="12" t="s">
        <v>413</v>
      </c>
      <c r="D580" s="13" t="s">
        <v>440</v>
      </c>
      <c r="E580" s="12" t="s">
        <v>494</v>
      </c>
      <c r="F580" s="12" t="s">
        <v>500</v>
      </c>
      <c r="G580" s="12" t="s">
        <v>952</v>
      </c>
      <c r="H580" s="12" t="s">
        <v>1229</v>
      </c>
      <c r="I580" s="12" t="s">
        <v>25</v>
      </c>
      <c r="J580" s="12" t="s">
        <v>25</v>
      </c>
    </row>
    <row customHeight="1" ht="33" r="581">
      <c r="B581" s="12">
        <f>HYPERLINK("https://gesdoc.uis.edu.co/share/page/folder-details?nodeRef=workspace://SpacesStore/980a4a06-d57f-46c6-83ae-cf6420e6c4cf","0020_2026000343_7884")</f>
      </c>
      <c r="C581" s="12" t="s">
        <v>414</v>
      </c>
      <c r="D581" s="13" t="s">
        <v>444</v>
      </c>
      <c r="E581" s="12" t="s">
        <v>494</v>
      </c>
      <c r="F581" s="12" t="s">
        <v>495</v>
      </c>
      <c r="G581" s="12" t="s">
        <v>953</v>
      </c>
      <c r="H581" s="12" t="s">
        <v>1230</v>
      </c>
      <c r="I581" s="12" t="s">
        <v>25</v>
      </c>
      <c r="J581" s="12" t="s">
        <v>25</v>
      </c>
    </row>
    <row customHeight="1" ht="33" r="582">
      <c r="B582" s="12">
        <f>HYPERLINK("https://gesdoc.uis.edu.co/share/page/folder-details?nodeRef=workspace://SpacesStore/ed3fdb7a-1bc1-4cbe-bf37-225f7d4cc649","ELIMINAR_0020_2026000343_7884")</f>
      </c>
      <c r="C582" s="12" t="s">
        <v>25</v>
      </c>
      <c r="D582" s="13" t="s">
        <v>444</v>
      </c>
      <c r="E582" s="12" t="s">
        <v>494</v>
      </c>
      <c r="F582" s="12" t="s">
        <v>495</v>
      </c>
      <c r="G582" s="12" t="s">
        <v>954</v>
      </c>
      <c r="H582" s="12" t="s">
        <v>953</v>
      </c>
      <c r="I582" s="12" t="s">
        <v>25</v>
      </c>
      <c r="J582" s="12" t="s">
        <v>25</v>
      </c>
    </row>
    <row customHeight="1" ht="33" r="583">
      <c r="B583" s="12">
        <f>HYPERLINK("https://gesdoc.uis.edu.co/share/page/folder-details?nodeRef=workspace://SpacesStore/8965bf44-0617-41b0-8f03-fe477e696aeb","2025000487_9701")</f>
      </c>
      <c r="C583" s="12" t="s">
        <v>25</v>
      </c>
      <c r="D583" s="13" t="s">
        <v>454</v>
      </c>
      <c r="E583" s="12" t="s">
        <v>494</v>
      </c>
      <c r="F583" s="12" t="s">
        <v>504</v>
      </c>
      <c r="G583" s="12" t="s">
        <v>955</v>
      </c>
      <c r="H583" s="12" t="s">
        <v>1231</v>
      </c>
      <c r="I583" s="12" t="s">
        <v>25</v>
      </c>
      <c r="J583" s="12" t="s">
        <v>25</v>
      </c>
    </row>
    <row customHeight="1" ht="33" r="584">
      <c r="B584" s="12">
        <f>HYPERLINK("https://gesdoc.uis.edu.co/share/page/folder-details?nodeRef=workspace://SpacesStore/577070ab-3177-4171-939c-b86c2f9e7a14","2025000191_9701")</f>
      </c>
      <c r="C584" s="12" t="s">
        <v>25</v>
      </c>
      <c r="D584" s="13" t="s">
        <v>454</v>
      </c>
      <c r="E584" s="12" t="s">
        <v>494</v>
      </c>
      <c r="F584" s="12" t="s">
        <v>504</v>
      </c>
      <c r="G584" s="12" t="s">
        <v>956</v>
      </c>
      <c r="H584" s="12" t="s">
        <v>956</v>
      </c>
      <c r="I584" s="12" t="s">
        <v>25</v>
      </c>
      <c r="J584" s="12" t="s">
        <v>25</v>
      </c>
    </row>
    <row customHeight="1" ht="33" r="585">
      <c r="B585" s="12">
        <f>HYPERLINK("https://gesdoc.uis.edu.co/share/page/folder-details?nodeRef=workspace://SpacesStore/1359c2f7-7f0c-4d24-8e49-d2caacc6dc99","2025000418_9701")</f>
      </c>
      <c r="C585" s="12" t="s">
        <v>25</v>
      </c>
      <c r="D585" s="13" t="s">
        <v>454</v>
      </c>
      <c r="E585" s="12" t="s">
        <v>494</v>
      </c>
      <c r="F585" s="12" t="s">
        <v>504</v>
      </c>
      <c r="G585" s="12" t="s">
        <v>957</v>
      </c>
      <c r="H585" s="12" t="s">
        <v>957</v>
      </c>
      <c r="I585" s="12" t="s">
        <v>25</v>
      </c>
      <c r="J585" s="12" t="s">
        <v>25</v>
      </c>
    </row>
    <row customHeight="1" ht="33" r="586">
      <c r="B586" s="12">
        <f>HYPERLINK("https://gesdoc.uis.edu.co/share/page/folder-details?nodeRef=workspace://SpacesStore/bfe2d873-8da9-4a76-8f90-62bcf3a314fb","2025000086_9708")</f>
      </c>
      <c r="C586" s="12" t="s">
        <v>25</v>
      </c>
      <c r="D586" s="13" t="s">
        <v>454</v>
      </c>
      <c r="E586" s="12" t="s">
        <v>494</v>
      </c>
      <c r="F586" s="12" t="s">
        <v>504</v>
      </c>
      <c r="G586" s="12" t="s">
        <v>958</v>
      </c>
      <c r="H586" s="12" t="s">
        <v>958</v>
      </c>
      <c r="I586" s="12" t="s">
        <v>25</v>
      </c>
      <c r="J586" s="12" t="s">
        <v>25</v>
      </c>
    </row>
    <row customHeight="1" ht="33" r="587">
      <c r="B587" s="12">
        <f>HYPERLINK("https://gesdoc.uis.edu.co/share/page/folder-details?nodeRef=workspace://SpacesStore/e1f93927-2c62-44a3-9638-360f0d7de96e","0018_2026002498_4518")</f>
      </c>
      <c r="C587" s="12" t="s">
        <v>415</v>
      </c>
      <c r="D587" s="13" t="s">
        <v>444</v>
      </c>
      <c r="E587" s="12" t="s">
        <v>494</v>
      </c>
      <c r="F587" s="12" t="s">
        <v>500</v>
      </c>
      <c r="G587" s="12" t="s">
        <v>955</v>
      </c>
      <c r="H587" s="12" t="s">
        <v>1232</v>
      </c>
      <c r="I587" s="12" t="s">
        <v>25</v>
      </c>
      <c r="J587" s="12" t="s">
        <v>25</v>
      </c>
    </row>
    <row customHeight="1" ht="33" r="588">
      <c r="B588" s="12">
        <f>HYPERLINK("https://gesdoc.uis.edu.co/share/page/folder-details?nodeRef=workspace://SpacesStore/ad4f5f7f-321a-4ba1-a765-4fcbd8442ce1","2025000276_9701")</f>
      </c>
      <c r="C588" s="12" t="s">
        <v>25</v>
      </c>
      <c r="D588" s="13" t="s">
        <v>454</v>
      </c>
      <c r="E588" s="12" t="s">
        <v>494</v>
      </c>
      <c r="F588" s="12" t="s">
        <v>504</v>
      </c>
      <c r="G588" s="12" t="s">
        <v>959</v>
      </c>
      <c r="H588" s="12" t="s">
        <v>1233</v>
      </c>
      <c r="I588" s="12" t="s">
        <v>25</v>
      </c>
      <c r="J588" s="12" t="s">
        <v>25</v>
      </c>
    </row>
    <row customHeight="1" ht="33" r="589">
      <c r="B589" s="12">
        <f>HYPERLINK("https://gesdoc.uis.edu.co/share/page/folder-details?nodeRef=workspace://SpacesStore/95b13c3f-299a-403b-8318-8b964317ae16","0020_2026000302_7019")</f>
      </c>
      <c r="C589" s="12" t="s">
        <v>416</v>
      </c>
      <c r="D589" s="13" t="s">
        <v>466</v>
      </c>
      <c r="E589" s="12" t="s">
        <v>494</v>
      </c>
      <c r="F589" s="12" t="s">
        <v>495</v>
      </c>
      <c r="G589" s="12" t="s">
        <v>960</v>
      </c>
      <c r="H589" s="12" t="s">
        <v>959</v>
      </c>
      <c r="I589" s="12" t="s">
        <v>25</v>
      </c>
      <c r="J589" s="12" t="s">
        <v>25</v>
      </c>
    </row>
    <row customHeight="1" ht="33" r="590">
      <c r="B590" s="12">
        <f>HYPERLINK("https://gesdoc.uis.edu.co/share/page/folder-details?nodeRef=workspace://SpacesStore/5aa2142c-6c73-46f6-a768-54338b931d8e","2025000430_9701")</f>
      </c>
      <c r="C590" s="12" t="s">
        <v>25</v>
      </c>
      <c r="D590" s="13" t="s">
        <v>454</v>
      </c>
      <c r="E590" s="12" t="s">
        <v>494</v>
      </c>
      <c r="F590" s="12" t="s">
        <v>500</v>
      </c>
      <c r="G590" s="12" t="s">
        <v>961</v>
      </c>
      <c r="H590" s="12" t="s">
        <v>961</v>
      </c>
      <c r="I590" s="12" t="s">
        <v>25</v>
      </c>
      <c r="J590" s="12" t="s">
        <v>25</v>
      </c>
    </row>
    <row customHeight="1" ht="33" r="591">
      <c r="B591" s="12">
        <f>HYPERLINK("https://gesdoc.uis.edu.co/share/page/folder-details?nodeRef=workspace://SpacesStore/cda93ada-1ee5-41da-895d-af934ae6b1d1","2025000496_9702")</f>
      </c>
      <c r="C591" s="12" t="s">
        <v>25</v>
      </c>
      <c r="D591" s="13" t="s">
        <v>454</v>
      </c>
      <c r="E591" s="12" t="s">
        <v>494</v>
      </c>
      <c r="F591" s="12" t="s">
        <v>504</v>
      </c>
      <c r="G591" s="12" t="s">
        <v>962</v>
      </c>
      <c r="H591" s="12" t="s">
        <v>975</v>
      </c>
      <c r="I591" s="12" t="s">
        <v>25</v>
      </c>
      <c r="J591" s="12" t="s">
        <v>25</v>
      </c>
    </row>
    <row customHeight="1" ht="33" r="592">
      <c r="B592" s="12">
        <f>HYPERLINK("https://gesdoc.uis.edu.co/share/page/folder-details?nodeRef=workspace://SpacesStore/29b15500-bf06-4cea-929f-e91e4c89de9c","2025000490_9702")</f>
      </c>
      <c r="C592" s="12" t="s">
        <v>25</v>
      </c>
      <c r="D592" s="13" t="s">
        <v>454</v>
      </c>
      <c r="E592" s="12" t="s">
        <v>494</v>
      </c>
      <c r="F592" s="12" t="s">
        <v>504</v>
      </c>
      <c r="G592" s="12" t="s">
        <v>963</v>
      </c>
      <c r="H592" s="12" t="s">
        <v>963</v>
      </c>
      <c r="I592" s="12" t="s">
        <v>25</v>
      </c>
      <c r="J592" s="12" t="s">
        <v>25</v>
      </c>
    </row>
    <row customHeight="1" ht="33" r="593">
      <c r="B593" s="12">
        <f>HYPERLINK("https://gesdoc.uis.edu.co/share/page/folder-details?nodeRef=workspace://SpacesStore/34785553-85d0-44ce-98a2-91812daddff5","2025000492_9702")</f>
      </c>
      <c r="C593" s="12" t="s">
        <v>25</v>
      </c>
      <c r="D593" s="13" t="s">
        <v>454</v>
      </c>
      <c r="E593" s="12" t="s">
        <v>494</v>
      </c>
      <c r="F593" s="12" t="s">
        <v>504</v>
      </c>
      <c r="G593" s="12" t="s">
        <v>963</v>
      </c>
      <c r="H593" s="12" t="s">
        <v>962</v>
      </c>
      <c r="I593" s="12" t="s">
        <v>25</v>
      </c>
      <c r="J593" s="12" t="s">
        <v>25</v>
      </c>
    </row>
    <row customHeight="1" ht="33" r="594">
      <c r="B594" s="12">
        <f>HYPERLINK("https://gesdoc.uis.edu.co/share/page/folder-details?nodeRef=workspace://SpacesStore/03096728-e01e-4f14-abfb-eb98a3c1052d","2025000183_9707")</f>
      </c>
      <c r="C594" s="12" t="s">
        <v>25</v>
      </c>
      <c r="D594" s="13" t="s">
        <v>454</v>
      </c>
      <c r="E594" s="12" t="s">
        <v>494</v>
      </c>
      <c r="F594" s="12" t="s">
        <v>504</v>
      </c>
      <c r="G594" s="12" t="s">
        <v>964</v>
      </c>
      <c r="H594" s="12" t="s">
        <v>964</v>
      </c>
      <c r="I594" s="12" t="s">
        <v>25</v>
      </c>
      <c r="J594" s="12" t="s">
        <v>25</v>
      </c>
    </row>
    <row customHeight="1" ht="33" r="595">
      <c r="B595" s="12">
        <f>HYPERLINK("https://gesdoc.uis.edu.co/share/page/folder-details?nodeRef=workspace://SpacesStore/f8c43d7b-c86d-420a-9db8-d150b91ef5e8","2025000317_9707")</f>
      </c>
      <c r="C595" s="12" t="s">
        <v>25</v>
      </c>
      <c r="D595" s="13" t="s">
        <v>454</v>
      </c>
      <c r="E595" s="12" t="s">
        <v>494</v>
      </c>
      <c r="F595" s="12" t="s">
        <v>504</v>
      </c>
      <c r="G595" s="12" t="s">
        <v>964</v>
      </c>
      <c r="H595" s="12" t="s">
        <v>964</v>
      </c>
      <c r="I595" s="12" t="s">
        <v>25</v>
      </c>
      <c r="J595" s="12" t="s">
        <v>25</v>
      </c>
    </row>
    <row customHeight="1" ht="33" r="596">
      <c r="B596" s="12">
        <f>HYPERLINK("https://gesdoc.uis.edu.co/share/page/folder-details?nodeRef=workspace://SpacesStore/38ce5a31-9152-429a-97fa-49369c1a988a","0018_2026002519_7233")</f>
      </c>
      <c r="C596" s="12" t="s">
        <v>417</v>
      </c>
      <c r="D596" s="13" t="s">
        <v>452</v>
      </c>
      <c r="E596" s="12" t="s">
        <v>494</v>
      </c>
      <c r="F596" s="12" t="s">
        <v>500</v>
      </c>
      <c r="G596" s="12" t="s">
        <v>965</v>
      </c>
      <c r="H596" s="12" t="s">
        <v>1234</v>
      </c>
      <c r="I596" s="12" t="s">
        <v>25</v>
      </c>
      <c r="J596" s="12" t="s">
        <v>25</v>
      </c>
    </row>
    <row customHeight="1" ht="33" r="597">
      <c r="B597" s="12">
        <f>HYPERLINK("https://gesdoc.uis.edu.co/share/page/folder-details?nodeRef=workspace://SpacesStore/17dfc39b-9daf-45a6-9869-9daa9df7977f","0019_2026000098_3160")</f>
      </c>
      <c r="C597" s="12" t="s">
        <v>418</v>
      </c>
      <c r="D597" s="13" t="s">
        <v>440</v>
      </c>
      <c r="E597" s="12" t="s">
        <v>494</v>
      </c>
      <c r="F597" s="12" t="s">
        <v>498</v>
      </c>
      <c r="G597" s="12" t="s">
        <v>966</v>
      </c>
      <c r="H597" s="12" t="s">
        <v>1235</v>
      </c>
      <c r="I597" s="12" t="s">
        <v>25</v>
      </c>
      <c r="J597" s="12" t="s">
        <v>25</v>
      </c>
    </row>
    <row customHeight="1" ht="33" r="598">
      <c r="B598" s="12">
        <f>HYPERLINK("https://gesdoc.uis.edu.co/share/page/folder-details?nodeRef=workspace://SpacesStore/cc84d17e-cf8b-48e1-b3e0-e879afb6993b","2025000371_9701")</f>
      </c>
      <c r="C598" s="12" t="s">
        <v>25</v>
      </c>
      <c r="D598" s="13" t="s">
        <v>454</v>
      </c>
      <c r="E598" s="12" t="s">
        <v>494</v>
      </c>
      <c r="F598" s="12" t="s">
        <v>504</v>
      </c>
      <c r="G598" s="12" t="s">
        <v>967</v>
      </c>
      <c r="H598" s="12" t="s">
        <v>970</v>
      </c>
      <c r="I598" s="12" t="s">
        <v>25</v>
      </c>
      <c r="J598" s="12" t="s">
        <v>25</v>
      </c>
    </row>
    <row customHeight="1" ht="33" r="599">
      <c r="B599" s="12">
        <f>HYPERLINK("https://gesdoc.uis.edu.co/share/page/folder-details?nodeRef=workspace://SpacesStore/a30e34cd-b3a5-4564-9788-ca4a0232a559","2025000462_9702")</f>
      </c>
      <c r="C599" s="12" t="s">
        <v>25</v>
      </c>
      <c r="D599" s="13" t="s">
        <v>454</v>
      </c>
      <c r="E599" s="12" t="s">
        <v>494</v>
      </c>
      <c r="F599" s="12" t="s">
        <v>504</v>
      </c>
      <c r="G599" s="12" t="s">
        <v>968</v>
      </c>
      <c r="H599" s="12" t="s">
        <v>968</v>
      </c>
      <c r="I599" s="12" t="s">
        <v>25</v>
      </c>
      <c r="J599" s="12" t="s">
        <v>25</v>
      </c>
    </row>
    <row customHeight="1" ht="33" r="600">
      <c r="B600" s="12">
        <f>HYPERLINK("https://gesdoc.uis.edu.co/share/page/folder-details?nodeRef=workspace://SpacesStore/02bb2562-231a-4bb5-8d7d-ee6c2aa030f7","2025000463_9702")</f>
      </c>
      <c r="C600" s="12" t="s">
        <v>25</v>
      </c>
      <c r="D600" s="13" t="s">
        <v>454</v>
      </c>
      <c r="E600" s="12" t="s">
        <v>494</v>
      </c>
      <c r="F600" s="12" t="s">
        <v>504</v>
      </c>
      <c r="G600" s="12" t="s">
        <v>968</v>
      </c>
      <c r="H600" s="12" t="s">
        <v>963</v>
      </c>
      <c r="I600" s="12" t="s">
        <v>25</v>
      </c>
      <c r="J600" s="12" t="s">
        <v>25</v>
      </c>
    </row>
    <row customHeight="1" ht="33" r="601">
      <c r="B601" s="12">
        <f>HYPERLINK("https://gesdoc.uis.edu.co/share/page/folder-details?nodeRef=workspace://SpacesStore/b87f7f5b-016f-4684-86cb-0aee6e37bb5d","2025000458_9701")</f>
      </c>
      <c r="C601" s="12" t="s">
        <v>25</v>
      </c>
      <c r="D601" s="13" t="s">
        <v>454</v>
      </c>
      <c r="E601" s="12" t="s">
        <v>494</v>
      </c>
      <c r="F601" s="12" t="s">
        <v>504</v>
      </c>
      <c r="G601" s="12" t="s">
        <v>969</v>
      </c>
      <c r="H601" s="12" t="s">
        <v>969</v>
      </c>
      <c r="I601" s="12" t="s">
        <v>25</v>
      </c>
      <c r="J601" s="12" t="s">
        <v>25</v>
      </c>
    </row>
    <row customHeight="1" ht="33" r="602">
      <c r="B602" s="12">
        <f>HYPERLINK("https://gesdoc.uis.edu.co/share/page/folder-details?nodeRef=workspace://SpacesStore/2f8b61e6-6e8c-4594-b416-a4bde941e921","2025000391_9701")</f>
      </c>
      <c r="C602" s="12" t="s">
        <v>25</v>
      </c>
      <c r="D602" s="13" t="s">
        <v>454</v>
      </c>
      <c r="E602" s="12" t="s">
        <v>494</v>
      </c>
      <c r="F602" s="12" t="s">
        <v>504</v>
      </c>
      <c r="G602" s="12" t="s">
        <v>970</v>
      </c>
      <c r="H602" s="12" t="s">
        <v>970</v>
      </c>
      <c r="I602" s="12" t="s">
        <v>25</v>
      </c>
      <c r="J602" s="12" t="s">
        <v>25</v>
      </c>
    </row>
    <row customHeight="1" ht="33" r="603">
      <c r="B603" s="12">
        <f>HYPERLINK("https://gesdoc.uis.edu.co/share/page/folder-details?nodeRef=workspace://SpacesStore/2c199855-caba-4fe2-9052-7b4a9f615a0d","2025000318_9701")</f>
      </c>
      <c r="C603" s="12" t="s">
        <v>25</v>
      </c>
      <c r="D603" s="13" t="s">
        <v>454</v>
      </c>
      <c r="E603" s="12" t="s">
        <v>494</v>
      </c>
      <c r="F603" s="12" t="s">
        <v>504</v>
      </c>
      <c r="G603" s="12" t="s">
        <v>971</v>
      </c>
      <c r="H603" s="12" t="s">
        <v>971</v>
      </c>
      <c r="I603" s="12" t="s">
        <v>25</v>
      </c>
      <c r="J603" s="12" t="s">
        <v>25</v>
      </c>
    </row>
    <row customHeight="1" ht="33" r="604">
      <c r="B604" s="12">
        <f>HYPERLINK("https://gesdoc.uis.edu.co/share/page/folder-details?nodeRef=workspace://SpacesStore/07e30ce6-2274-41b0-aaf4-512a4d8292dc","0020_2026000319_7038")</f>
      </c>
      <c r="C604" s="12" t="s">
        <v>419</v>
      </c>
      <c r="D604" s="13" t="s">
        <v>492</v>
      </c>
      <c r="E604" s="12" t="s">
        <v>494</v>
      </c>
      <c r="F604" s="12" t="s">
        <v>495</v>
      </c>
      <c r="G604" s="12" t="s">
        <v>972</v>
      </c>
      <c r="H604" s="12" t="s">
        <v>1236</v>
      </c>
      <c r="I604" s="12" t="s">
        <v>25</v>
      </c>
      <c r="J604" s="12" t="s">
        <v>25</v>
      </c>
    </row>
    <row customHeight="1" ht="33" r="605">
      <c r="B605" s="12">
        <f>HYPERLINK("https://gesdoc.uis.edu.co/share/page/folder-details?nodeRef=workspace://SpacesStore/383abeed-f34c-4d3a-8a02-3b24650e2c6d","0004_2026002521_6869")</f>
      </c>
      <c r="C605" s="12" t="s">
        <v>420</v>
      </c>
      <c r="D605" s="13" t="s">
        <v>491</v>
      </c>
      <c r="E605" s="12" t="s">
        <v>494</v>
      </c>
      <c r="F605" s="12" t="s">
        <v>500</v>
      </c>
      <c r="G605" s="12" t="s">
        <v>973</v>
      </c>
      <c r="H605" s="12" t="s">
        <v>1237</v>
      </c>
      <c r="I605" s="12" t="s">
        <v>25</v>
      </c>
      <c r="J605" s="12" t="s">
        <v>25</v>
      </c>
    </row>
    <row customHeight="1" ht="33" r="606">
      <c r="B606" s="12">
        <f>HYPERLINK("https://gesdoc.uis.edu.co/share/page/folder-details?nodeRef=workspace://SpacesStore/137d2391-15fc-4fca-b247-9d7d083bce00","2025000514_9702")</f>
      </c>
      <c r="C606" s="12" t="s">
        <v>25</v>
      </c>
      <c r="D606" s="13" t="s">
        <v>454</v>
      </c>
      <c r="E606" s="12" t="s">
        <v>494</v>
      </c>
      <c r="F606" s="12" t="s">
        <v>504</v>
      </c>
      <c r="G606" s="12" t="s">
        <v>974</v>
      </c>
      <c r="H606" s="12" t="s">
        <v>974</v>
      </c>
      <c r="I606" s="12" t="s">
        <v>25</v>
      </c>
      <c r="J606" s="12" t="s">
        <v>25</v>
      </c>
    </row>
    <row customHeight="1" ht="33" r="607">
      <c r="B607" s="12">
        <f>HYPERLINK("https://gesdoc.uis.edu.co/share/page/folder-details?nodeRef=workspace://SpacesStore/6face84c-bd05-47d5-a7ea-46560fbf29bd","2025000505_9702")</f>
      </c>
      <c r="C607" s="12" t="s">
        <v>25</v>
      </c>
      <c r="D607" s="13" t="s">
        <v>454</v>
      </c>
      <c r="E607" s="12" t="s">
        <v>494</v>
      </c>
      <c r="F607" s="12" t="s">
        <v>504</v>
      </c>
      <c r="G607" s="12" t="s">
        <v>974</v>
      </c>
      <c r="H607" s="12" t="s">
        <v>974</v>
      </c>
      <c r="I607" s="12" t="s">
        <v>25</v>
      </c>
      <c r="J607" s="12" t="s">
        <v>25</v>
      </c>
    </row>
    <row customHeight="1" ht="33" r="608">
      <c r="B608" s="12">
        <f>HYPERLINK("https://gesdoc.uis.edu.co/share/page/folder-details?nodeRef=workspace://SpacesStore/4371bd20-83ae-43eb-a6f4-2eb75a000671","2025000502_9701")</f>
      </c>
      <c r="C608" s="12" t="s">
        <v>25</v>
      </c>
      <c r="D608" s="13" t="s">
        <v>454</v>
      </c>
      <c r="E608" s="12" t="s">
        <v>494</v>
      </c>
      <c r="F608" s="12" t="s">
        <v>504</v>
      </c>
      <c r="G608" s="12" t="s">
        <v>975</v>
      </c>
      <c r="H608" s="12" t="s">
        <v>975</v>
      </c>
      <c r="I608" s="12" t="s">
        <v>25</v>
      </c>
      <c r="J608" s="12" t="s">
        <v>25</v>
      </c>
    </row>
    <row customHeight="1" ht="33" r="609">
      <c r="B609" s="12">
        <f>HYPERLINK("https://gesdoc.uis.edu.co/share/page/folder-details?nodeRef=workspace://SpacesStore/fca8cf4b-93e5-4db7-a5f1-393e61569774","2025000316_9707")</f>
      </c>
      <c r="C609" s="12" t="s">
        <v>25</v>
      </c>
      <c r="D609" s="13" t="s">
        <v>454</v>
      </c>
      <c r="E609" s="12" t="s">
        <v>494</v>
      </c>
      <c r="F609" s="12" t="s">
        <v>504</v>
      </c>
      <c r="G609" s="12" t="s">
        <v>976</v>
      </c>
      <c r="H609" s="12" t="s">
        <v>976</v>
      </c>
      <c r="I609" s="12" t="s">
        <v>25</v>
      </c>
      <c r="J609" s="12" t="s">
        <v>25</v>
      </c>
    </row>
    <row customHeight="1" ht="33" r="610">
      <c r="B610" s="12">
        <f>HYPERLINK("https://gesdoc.uis.edu.co/share/page/folder-details?nodeRef=workspace://SpacesStore/5a809a32-74cc-4597-8969-99e2e01e193c","2025000066_9708")</f>
      </c>
      <c r="C610" s="12" t="s">
        <v>25</v>
      </c>
      <c r="D610" s="13" t="s">
        <v>454</v>
      </c>
      <c r="E610" s="12" t="s">
        <v>494</v>
      </c>
      <c r="F610" s="12" t="s">
        <v>504</v>
      </c>
      <c r="G610" s="12" t="s">
        <v>958</v>
      </c>
      <c r="H610" s="12" t="s">
        <v>958</v>
      </c>
      <c r="I610" s="12" t="s">
        <v>25</v>
      </c>
      <c r="J610" s="12" t="s">
        <v>25</v>
      </c>
    </row>
    <row customHeight="1" ht="33" r="611">
      <c r="B611" s="12">
        <f>HYPERLINK("https://gesdoc.uis.edu.co/share/page/folder-details?nodeRef=workspace://SpacesStore/efa401c4-338e-440e-9707-a7bbde751b7f","0020_2026000313_4522")</f>
      </c>
      <c r="C611" s="12" t="s">
        <v>421</v>
      </c>
      <c r="D611" s="13" t="s">
        <v>490</v>
      </c>
      <c r="E611" s="12" t="s">
        <v>494</v>
      </c>
      <c r="F611" s="12" t="s">
        <v>495</v>
      </c>
      <c r="G611" s="12" t="s">
        <v>977</v>
      </c>
      <c r="H611" s="12" t="s">
        <v>1238</v>
      </c>
      <c r="I611" s="12" t="s">
        <v>25</v>
      </c>
      <c r="J611" s="12" t="s">
        <v>25</v>
      </c>
    </row>
    <row customHeight="1" ht="33" r="612">
      <c r="B612" s="12">
        <f>HYPERLINK("https://gesdoc.uis.edu.co/share/page/folder-details?nodeRef=workspace://SpacesStore/7e1dedee-cd2e-45ac-8db4-5970d6a8982d","2025000062_9702")</f>
      </c>
      <c r="C612" s="12" t="s">
        <v>25</v>
      </c>
      <c r="D612" s="13" t="s">
        <v>454</v>
      </c>
      <c r="E612" s="12" t="s">
        <v>494</v>
      </c>
      <c r="F612" s="12" t="s">
        <v>504</v>
      </c>
      <c r="G612" s="12" t="s">
        <v>978</v>
      </c>
      <c r="H612" s="12" t="s">
        <v>978</v>
      </c>
      <c r="I612" s="12" t="s">
        <v>25</v>
      </c>
      <c r="J612" s="12" t="s">
        <v>25</v>
      </c>
    </row>
    <row customHeight="1" ht="33" r="613">
      <c r="B613" s="12">
        <f>HYPERLINK("https://gesdoc.uis.edu.co/share/page/folder-details?nodeRef=workspace://SpacesStore/eade3ed8-ae76-486e-8110-7b6c477a9e97","0270_2026000738_6820")</f>
      </c>
      <c r="C613" s="12" t="s">
        <v>422</v>
      </c>
      <c r="D613" s="13" t="s">
        <v>471</v>
      </c>
      <c r="E613" s="12" t="s">
        <v>494</v>
      </c>
      <c r="F613" s="12" t="s">
        <v>506</v>
      </c>
      <c r="G613" s="12" t="s">
        <v>979</v>
      </c>
      <c r="H613" s="12" t="s">
        <v>1239</v>
      </c>
      <c r="I613" s="12" t="s">
        <v>25</v>
      </c>
      <c r="J613" s="12" t="s">
        <v>25</v>
      </c>
    </row>
    <row customHeight="1" ht="33" r="614">
      <c r="B614" s="12">
        <f>HYPERLINK("https://gesdoc.uis.edu.co/share/page/folder-details?nodeRef=workspace://SpacesStore/a138fd1a-9d02-4cd6-aea0-9bac2eb13d68","0018_2026002191_4512")</f>
      </c>
      <c r="C614" s="12" t="s">
        <v>423</v>
      </c>
      <c r="D614" s="13" t="s">
        <v>444</v>
      </c>
      <c r="E614" s="12" t="s">
        <v>494</v>
      </c>
      <c r="F614" s="12" t="s">
        <v>500</v>
      </c>
      <c r="G614" s="12" t="s">
        <v>980</v>
      </c>
      <c r="H614" s="12" t="s">
        <v>1240</v>
      </c>
      <c r="I614" s="12" t="s">
        <v>25</v>
      </c>
      <c r="J614" s="12" t="s">
        <v>25</v>
      </c>
    </row>
    <row customHeight="1" ht="33" r="615">
      <c r="B615" s="12">
        <f>HYPERLINK("https://gesdoc.uis.edu.co/share/page/folder-details?nodeRef=workspace://SpacesStore/3bc2ba51-42b3-4a75-adb3-b87b3830cbf0","2025000304_9701")</f>
      </c>
      <c r="C615" s="12" t="s">
        <v>25</v>
      </c>
      <c r="D615" s="13" t="s">
        <v>454</v>
      </c>
      <c r="E615" s="12" t="s">
        <v>494</v>
      </c>
      <c r="F615" s="12" t="s">
        <v>504</v>
      </c>
      <c r="G615" s="12" t="s">
        <v>981</v>
      </c>
      <c r="H615" s="12" t="s">
        <v>981</v>
      </c>
      <c r="I615" s="12" t="s">
        <v>25</v>
      </c>
      <c r="J615" s="12" t="s">
        <v>25</v>
      </c>
    </row>
    <row customHeight="1" ht="33" r="616">
      <c r="B616" s="12">
        <f>HYPERLINK("https://gesdoc.uis.edu.co/share/page/folder-details?nodeRef=workspace://SpacesStore/a283410c-4291-424c-9957-c6f9a8dfc44a","2025000290_9701")</f>
      </c>
      <c r="C616" s="12" t="s">
        <v>25</v>
      </c>
      <c r="D616" s="13" t="s">
        <v>454</v>
      </c>
      <c r="E616" s="12" t="s">
        <v>494</v>
      </c>
      <c r="F616" s="12" t="s">
        <v>504</v>
      </c>
      <c r="G616" s="12" t="s">
        <v>982</v>
      </c>
      <c r="H616" s="12" t="s">
        <v>1241</v>
      </c>
      <c r="I616" s="12" t="s">
        <v>25</v>
      </c>
      <c r="J616" s="12" t="s">
        <v>25</v>
      </c>
    </row>
    <row customHeight="1" ht="33" r="617">
      <c r="B617" s="12">
        <f>HYPERLINK("https://gesdoc.uis.edu.co/share/page/folder-details?nodeRef=workspace://SpacesStore/8f834a7a-dbe8-42e7-b8b8-ebbe1efeb02c","0018_2026002337_4722")</f>
      </c>
      <c r="C617" s="12" t="s">
        <v>424</v>
      </c>
      <c r="D617" s="13" t="s">
        <v>444</v>
      </c>
      <c r="E617" s="12" t="s">
        <v>494</v>
      </c>
      <c r="F617" s="12" t="s">
        <v>500</v>
      </c>
      <c r="G617" s="12" t="s">
        <v>983</v>
      </c>
      <c r="H617" s="12" t="s">
        <v>1242</v>
      </c>
      <c r="I617" s="12" t="s">
        <v>25</v>
      </c>
      <c r="J617" s="12" t="s">
        <v>25</v>
      </c>
    </row>
    <row customHeight="1" ht="33" r="618">
      <c r="B618" s="12">
        <f>HYPERLINK("https://gesdoc.uis.edu.co/share/page/folder-details?nodeRef=workspace://SpacesStore/bff11413-e39d-4fdb-93b2-29c0592284b2","2025000331_9701")</f>
      </c>
      <c r="C618" s="12" t="s">
        <v>25</v>
      </c>
      <c r="D618" s="13" t="s">
        <v>454</v>
      </c>
      <c r="E618" s="12" t="s">
        <v>494</v>
      </c>
      <c r="F618" s="12" t="s">
        <v>504</v>
      </c>
      <c r="G618" s="12" t="s">
        <v>984</v>
      </c>
      <c r="H618" s="12" t="s">
        <v>1242</v>
      </c>
      <c r="I618" s="12" t="s">
        <v>25</v>
      </c>
      <c r="J618" s="12" t="s">
        <v>25</v>
      </c>
    </row>
    <row customHeight="1" ht="33" r="619">
      <c r="B619" s="12">
        <f>HYPERLINK("https://gesdoc.uis.edu.co/share/page/folder-details?nodeRef=workspace://SpacesStore/d8cb82ab-0ba3-42ab-a167-260d06a9d0a4","0018_2026002516_7849")</f>
      </c>
      <c r="C619" s="12" t="s">
        <v>425</v>
      </c>
      <c r="D619" s="13" t="s">
        <v>468</v>
      </c>
      <c r="E619" s="12" t="s">
        <v>494</v>
      </c>
      <c r="F619" s="12" t="s">
        <v>500</v>
      </c>
      <c r="G619" s="12" t="s">
        <v>985</v>
      </c>
      <c r="H619" s="12" t="s">
        <v>985</v>
      </c>
      <c r="I619" s="12" t="s">
        <v>25</v>
      </c>
      <c r="J619" s="12" t="s">
        <v>25</v>
      </c>
    </row>
    <row customHeight="1" ht="33" r="620">
      <c r="B620" s="12">
        <f>HYPERLINK("https://gesdoc.uis.edu.co/share/page/folder-details?nodeRef=workspace://SpacesStore/99eb9add-0ff8-4a7c-afb6-8168d6097d5c","0020_2026000371_4518")</f>
      </c>
      <c r="C620" s="12" t="s">
        <v>426</v>
      </c>
      <c r="D620" s="13" t="s">
        <v>444</v>
      </c>
      <c r="E620" s="12" t="s">
        <v>494</v>
      </c>
      <c r="F620" s="12" t="s">
        <v>495</v>
      </c>
      <c r="G620" s="12" t="s">
        <v>986</v>
      </c>
      <c r="H620" s="12" t="s">
        <v>988</v>
      </c>
      <c r="I620" s="12" t="s">
        <v>25</v>
      </c>
      <c r="J620" s="12" t="s">
        <v>25</v>
      </c>
    </row>
    <row customHeight="1" ht="33" r="621">
      <c r="B621" s="12">
        <f>HYPERLINK("https://gesdoc.uis.edu.co/share/page/folder-details?nodeRef=workspace://SpacesStore/f7c5c27a-ecfd-4f82-8b11-dbbcb5ddc22f","0270_2026000614_3190")</f>
      </c>
      <c r="C621" s="12" t="s">
        <v>427</v>
      </c>
      <c r="D621" s="13" t="s">
        <v>481</v>
      </c>
      <c r="E621" s="12" t="s">
        <v>494</v>
      </c>
      <c r="F621" s="12" t="s">
        <v>495</v>
      </c>
      <c r="G621" s="12" t="s">
        <v>987</v>
      </c>
      <c r="H621" s="12" t="s">
        <v>1243</v>
      </c>
      <c r="I621" s="12" t="s">
        <v>25</v>
      </c>
      <c r="J621" s="12" t="s">
        <v>25</v>
      </c>
    </row>
    <row customHeight="1" ht="33" r="622">
      <c r="B622" s="12">
        <f>HYPERLINK("https://gesdoc.uis.edu.co/share/page/folder-details?nodeRef=workspace://SpacesStore/7e7616c4-ade7-4f81-8b81-a4848fce2c52","2025000395_9701")</f>
      </c>
      <c r="C622" s="12" t="s">
        <v>25</v>
      </c>
      <c r="D622" s="13" t="s">
        <v>454</v>
      </c>
      <c r="E622" s="12" t="s">
        <v>494</v>
      </c>
      <c r="F622" s="12" t="s">
        <v>504</v>
      </c>
      <c r="G622" s="12" t="s">
        <v>988</v>
      </c>
      <c r="H622" s="12" t="s">
        <v>988</v>
      </c>
      <c r="I622" s="12" t="s">
        <v>25</v>
      </c>
      <c r="J622" s="12" t="s">
        <v>25</v>
      </c>
    </row>
    <row customHeight="1" ht="33" r="623">
      <c r="B623" s="12">
        <f>HYPERLINK("https://gesdoc.uis.edu.co/share/page/folder-details?nodeRef=workspace://SpacesStore/b4011435-869d-46a1-8dc5-481666db4442","2025000286_9701")</f>
      </c>
      <c r="C623" s="12" t="s">
        <v>25</v>
      </c>
      <c r="D623" s="13" t="s">
        <v>454</v>
      </c>
      <c r="E623" s="12" t="s">
        <v>494</v>
      </c>
      <c r="F623" s="12" t="s">
        <v>504</v>
      </c>
      <c r="G623" s="12" t="s">
        <v>989</v>
      </c>
      <c r="H623" s="12" t="s">
        <v>989</v>
      </c>
      <c r="I623" s="12" t="s">
        <v>25</v>
      </c>
      <c r="J623" s="12" t="s">
        <v>25</v>
      </c>
    </row>
    <row customHeight="1" ht="33" r="624">
      <c r="B624" s="12">
        <f>HYPERLINK("https://gesdoc.uis.edu.co/share/page/folder-details?nodeRef=workspace://SpacesStore/319f29b3-d359-4a2e-b1d1-22217c81fb23","0018_2026002844_9109")</f>
      </c>
      <c r="C624" s="12" t="s">
        <v>428</v>
      </c>
      <c r="D624" s="13" t="s">
        <v>486</v>
      </c>
      <c r="E624" s="12" t="s">
        <v>494</v>
      </c>
      <c r="F624" s="12" t="s">
        <v>500</v>
      </c>
      <c r="G624" s="12" t="s">
        <v>990</v>
      </c>
      <c r="H624" s="12" t="s">
        <v>990</v>
      </c>
      <c r="I624" s="12" t="s">
        <v>25</v>
      </c>
      <c r="J624" s="12" t="s">
        <v>25</v>
      </c>
    </row>
    <row customHeight="1" ht="33" r="625">
      <c r="B625" s="12">
        <f>HYPERLINK("https://gesdoc.uis.edu.co/share/page/folder-details?nodeRef=workspace://SpacesStore/ec9e8781-16fc-48a6-9e99-3df942474e33","ELIMINAR_CONTRATOS")</f>
      </c>
      <c r="C625" s="12" t="s">
        <v>25</v>
      </c>
      <c r="D625" s="13" t="s">
        <v>451</v>
      </c>
      <c r="E625" s="12" t="s">
        <v>494</v>
      </c>
      <c r="F625" s="12" t="s">
        <v>507</v>
      </c>
      <c r="G625" s="12" t="s">
        <v>991</v>
      </c>
      <c r="H625" s="12" t="s">
        <v>1244</v>
      </c>
      <c r="I625" s="12" t="s">
        <v>25</v>
      </c>
      <c r="J625" s="12" t="s">
        <v>25</v>
      </c>
    </row>
    <row customHeight="1" ht="33" r="626">
      <c r="B626" s="12">
        <f>HYPERLINK("https://gesdoc.uis.edu.co/share/page/folder-details?nodeRef=workspace://SpacesStore/f8b41151-360b-4155-9f07-3182c5f3e6b9","2025000227_9702")</f>
      </c>
      <c r="C626" s="12" t="s">
        <v>25</v>
      </c>
      <c r="D626" s="13" t="s">
        <v>454</v>
      </c>
      <c r="E626" s="12" t="s">
        <v>494</v>
      </c>
      <c r="F626" s="12" t="s">
        <v>504</v>
      </c>
      <c r="G626" s="12" t="s">
        <v>992</v>
      </c>
      <c r="H626" s="12" t="s">
        <v>992</v>
      </c>
      <c r="I626" s="12" t="s">
        <v>25</v>
      </c>
      <c r="J626" s="12" t="s">
        <v>25</v>
      </c>
    </row>
    <row customHeight="1" ht="33" r="627">
      <c r="B627" s="12">
        <f>HYPERLINK("https://gesdoc.uis.edu.co/share/page/folder-details?nodeRef=workspace://SpacesStore/e6f8148a-5d08-4c70-908a-8665562f2c29","0018_2026002494_3140")</f>
      </c>
      <c r="C627" s="12" t="s">
        <v>429</v>
      </c>
      <c r="D627" s="13" t="s">
        <v>445</v>
      </c>
      <c r="E627" s="12" t="s">
        <v>494</v>
      </c>
      <c r="F627" s="12" t="s">
        <v>500</v>
      </c>
      <c r="G627" s="12" t="s">
        <v>993</v>
      </c>
      <c r="H627" s="12" t="s">
        <v>992</v>
      </c>
      <c r="I627" s="12" t="s">
        <v>25</v>
      </c>
      <c r="J627" s="12" t="s">
        <v>25</v>
      </c>
    </row>
    <row customHeight="1" ht="33" r="628">
      <c r="B628" s="12">
        <f>HYPERLINK("https://gesdoc.uis.edu.co/share/page/folder-details?nodeRef=workspace://SpacesStore/def7ca00-f347-47a0-8681-dc35675af045","0049_2026000020_4518")</f>
      </c>
      <c r="C628" s="12" t="s">
        <v>430</v>
      </c>
      <c r="D628" s="13" t="s">
        <v>439</v>
      </c>
      <c r="E628" s="12" t="s">
        <v>494</v>
      </c>
      <c r="F628" s="12" t="s">
        <v>505</v>
      </c>
      <c r="G628" s="12" t="s">
        <v>994</v>
      </c>
      <c r="H628" s="12" t="s">
        <v>1245</v>
      </c>
      <c r="I628" s="12" t="s">
        <v>25</v>
      </c>
      <c r="J628" s="12" t="s">
        <v>25</v>
      </c>
    </row>
    <row customHeight="1" ht="33" r="629">
      <c r="B629" s="12">
        <f>HYPERLINK("https://gesdoc.uis.edu.co/share/page/folder-details?nodeRef=workspace://SpacesStore/d0aeecce-cce7-4d5e-8c2e-058a6bca0413","2025000223_9702")</f>
      </c>
      <c r="C629" s="12" t="s">
        <v>25</v>
      </c>
      <c r="D629" s="13" t="s">
        <v>454</v>
      </c>
      <c r="E629" s="12" t="s">
        <v>494</v>
      </c>
      <c r="F629" s="12" t="s">
        <v>504</v>
      </c>
      <c r="G629" s="12" t="s">
        <v>995</v>
      </c>
      <c r="H629" s="12" t="s">
        <v>1246</v>
      </c>
      <c r="I629" s="12" t="s">
        <v>25</v>
      </c>
      <c r="J629" s="12" t="s">
        <v>25</v>
      </c>
    </row>
    <row customHeight="1" ht="33" r="630">
      <c r="B630" s="12">
        <f>HYPERLINK("https://gesdoc.uis.edu.co/share/page/folder-details?nodeRef=workspace://SpacesStore/6dba86c6-de55-4e8d-bc85-a09af9028241","0270_2026000748_3160")</f>
      </c>
      <c r="C630" s="12" t="s">
        <v>431</v>
      </c>
      <c r="D630" s="13" t="s">
        <v>440</v>
      </c>
      <c r="E630" s="12" t="s">
        <v>494</v>
      </c>
      <c r="F630" s="12" t="s">
        <v>495</v>
      </c>
      <c r="G630" s="12" t="s">
        <v>911</v>
      </c>
      <c r="H630" s="12" t="s">
        <v>1247</v>
      </c>
      <c r="I630" s="12" t="s">
        <v>25</v>
      </c>
      <c r="J630" s="12" t="s">
        <v>25</v>
      </c>
    </row>
    <row customHeight="1" ht="33" r="631">
      <c r="B631" s="12">
        <f>HYPERLINK("https://gesdoc.uis.edu.co/share/page/folder-details?nodeRef=workspace://SpacesStore/c39cb86e-c633-4efd-84df-469dd48016d6","0298_2026000265_3160_EV009")</f>
      </c>
      <c r="C631" s="12" t="s">
        <v>432</v>
      </c>
      <c r="D631" s="13" t="s">
        <v>440</v>
      </c>
      <c r="E631" s="12" t="s">
        <v>494</v>
      </c>
      <c r="F631" s="12" t="s">
        <v>499</v>
      </c>
      <c r="G631" s="12" t="s">
        <v>996</v>
      </c>
      <c r="H631" s="12" t="s">
        <v>1248</v>
      </c>
      <c r="I631" s="12" t="s">
        <v>1256</v>
      </c>
      <c r="J631" s="12" t="s">
        <v>1261</v>
      </c>
    </row>
    <row customHeight="1" ht="33" r="632">
      <c r="B632" s="12">
        <f>HYPERLINK("https://gesdoc.uis.edu.co/share/page/folder-details?nodeRef=workspace://SpacesStore/e83bc711-8d01-4ff4-9b90-3d5a8d6033c7","2025000233_9702")</f>
      </c>
      <c r="C632" s="12" t="s">
        <v>25</v>
      </c>
      <c r="D632" s="13" t="s">
        <v>454</v>
      </c>
      <c r="E632" s="12" t="s">
        <v>494</v>
      </c>
      <c r="F632" s="12" t="s">
        <v>504</v>
      </c>
      <c r="G632" s="12" t="s">
        <v>997</v>
      </c>
      <c r="H632" s="12" t="s">
        <v>1249</v>
      </c>
      <c r="I632" s="12" t="s">
        <v>25</v>
      </c>
      <c r="J632" s="12" t="s">
        <v>25</v>
      </c>
    </row>
    <row customHeight="1" ht="33" r="633">
      <c r="B633" s="12">
        <f>HYPERLINK("https://gesdoc.uis.edu.co/share/page/folder-details?nodeRef=workspace://SpacesStore/050c3784-b4e7-4c8e-b557-038ea53fe52a","0298_2026000264_1464_EV009")</f>
      </c>
      <c r="C633" s="12" t="s">
        <v>433</v>
      </c>
      <c r="D633" s="13" t="s">
        <v>440</v>
      </c>
      <c r="E633" s="12" t="s">
        <v>494</v>
      </c>
      <c r="F633" s="12" t="s">
        <v>499</v>
      </c>
      <c r="G633" s="12" t="s">
        <v>998</v>
      </c>
      <c r="H633" s="12" t="s">
        <v>1250</v>
      </c>
      <c r="I633" s="12" t="s">
        <v>1256</v>
      </c>
      <c r="J633" s="12" t="s">
        <v>1261</v>
      </c>
    </row>
    <row customHeight="1" ht="33" r="634">
      <c r="B634" s="12">
        <f>HYPERLINK("https://gesdoc.uis.edu.co/share/page/folder-details?nodeRef=workspace://SpacesStore/11be7d6b-e533-43e7-806f-5c8d18dfb834","2025000258_9701")</f>
      </c>
      <c r="C634" s="12" t="s">
        <v>25</v>
      </c>
      <c r="D634" s="13" t="s">
        <v>454</v>
      </c>
      <c r="E634" s="12" t="s">
        <v>494</v>
      </c>
      <c r="F634" s="12" t="s">
        <v>504</v>
      </c>
      <c r="G634" s="12" t="s">
        <v>999</v>
      </c>
      <c r="H634" s="12" t="s">
        <v>1251</v>
      </c>
      <c r="I634" s="12" t="s">
        <v>25</v>
      </c>
      <c r="J634" s="12" t="s">
        <v>25</v>
      </c>
    </row>
    <row customHeight="1" ht="33" r="635">
      <c r="B635" s="12">
        <f>HYPERLINK("https://gesdoc.uis.edu.co/share/page/folder-details?nodeRef=workspace://SpacesStore/e6d35b3e-0ab8-45cb-9d57-047afd2feb9b","18_2026002482_7068")</f>
      </c>
      <c r="C635" s="12" t="s">
        <v>25</v>
      </c>
      <c r="D635" s="13" t="s">
        <v>448</v>
      </c>
      <c r="E635" s="12" t="s">
        <v>494</v>
      </c>
      <c r="F635" s="12" t="s">
        <v>500</v>
      </c>
      <c r="G635" s="12" t="s">
        <v>1000</v>
      </c>
      <c r="H635" s="12" t="s">
        <v>1252</v>
      </c>
      <c r="I635" s="12" t="s">
        <v>25</v>
      </c>
      <c r="J635" s="12" t="s">
        <v>25</v>
      </c>
    </row>
    <row customHeight="1" ht="33" r="636">
      <c r="B636" s="12">
        <f>HYPERLINK("https://gesdoc.uis.edu.co/share/page/folder-details?nodeRef=workspace://SpacesStore/06fda002-30cc-4b61-aaf9-5680dfdbe9ca","0018_2026002520_7233")</f>
      </c>
      <c r="C636" s="12" t="s">
        <v>434</v>
      </c>
      <c r="D636" s="13" t="s">
        <v>452</v>
      </c>
      <c r="E636" s="12" t="s">
        <v>494</v>
      </c>
      <c r="F636" s="12" t="s">
        <v>500</v>
      </c>
      <c r="G636" s="12" t="s">
        <v>1001</v>
      </c>
      <c r="H636" s="12" t="s">
        <v>1001</v>
      </c>
      <c r="I636" s="12" t="s">
        <v>25</v>
      </c>
      <c r="J636" s="12" t="s">
        <v>25</v>
      </c>
    </row>
    <row customHeight="1" ht="33" r="637">
      <c r="B637" s="12">
        <f>HYPERLINK("https://gesdoc.uis.edu.co/share/page/folder-details?nodeRef=workspace://SpacesStore/fda4bb12-d3f8-47a9-8a97-ca8cd3fd28b6","0018_2026002488_9109")</f>
      </c>
      <c r="C637" s="12" t="s">
        <v>435</v>
      </c>
      <c r="D637" s="13" t="s">
        <v>486</v>
      </c>
      <c r="E637" s="12" t="s">
        <v>494</v>
      </c>
      <c r="F637" s="12" t="s">
        <v>500</v>
      </c>
      <c r="G637" s="12" t="s">
        <v>1002</v>
      </c>
      <c r="H637" s="12" t="s">
        <v>1002</v>
      </c>
      <c r="I637" s="12" t="s">
        <v>25</v>
      </c>
      <c r="J637" s="12" t="s">
        <v>25</v>
      </c>
    </row>
    <row customHeight="1" ht="33" r="638">
      <c r="B638" s="12">
        <f>HYPERLINK("https://gesdoc.uis.edu.co/share/page/folder-details?nodeRef=workspace://SpacesStore/e8e8d370-5004-406c-93b2-5cff6f17b0bc","18_2026002518")</f>
      </c>
      <c r="C638" s="12" t="s">
        <v>25</v>
      </c>
      <c r="D638" s="13" t="s">
        <v>448</v>
      </c>
      <c r="E638" s="12" t="s">
        <v>494</v>
      </c>
      <c r="F638" s="12" t="s">
        <v>500</v>
      </c>
      <c r="G638" s="12" t="s">
        <v>1003</v>
      </c>
      <c r="H638" s="12" t="s">
        <v>1003</v>
      </c>
      <c r="I638" s="12" t="s">
        <v>25</v>
      </c>
      <c r="J638" s="12" t="s">
        <v>25</v>
      </c>
    </row>
    <row customHeight="1" ht="33" r="639">
      <c r="B639" s="12">
        <f>HYPERLINK("https://gesdoc.uis.edu.co/share/page/folder-details?nodeRef=workspace://SpacesStore/ec04cf62-3835-43af-97c4-3ed4008bdd74","0018_2026002339_7049")</f>
      </c>
      <c r="C639" s="12" t="s">
        <v>436</v>
      </c>
      <c r="D639" s="13" t="s">
        <v>493</v>
      </c>
      <c r="E639" s="12" t="s">
        <v>494</v>
      </c>
      <c r="F639" s="12" t="s">
        <v>508</v>
      </c>
      <c r="G639" s="12" t="s">
        <v>1004</v>
      </c>
      <c r="H639" s="12" t="s">
        <v>1253</v>
      </c>
      <c r="I639" s="12" t="s">
        <v>25</v>
      </c>
      <c r="J639" s="12" t="s">
        <v>25</v>
      </c>
    </row>
    <row customHeight="1" ht="33" r="640">
      <c r="B640" s="12">
        <f>HYPERLINK("https://gesdoc.uis.edu.co/share/page/folder-details?nodeRef=workspace://SpacesStore/0214140e-c868-44d7-a696-fb33ec833cbf","0374_2026000029_4516")</f>
      </c>
      <c r="C640" s="12" t="s">
        <v>437</v>
      </c>
      <c r="D640" s="13" t="s">
        <v>439</v>
      </c>
      <c r="E640" s="12" t="s">
        <v>494</v>
      </c>
      <c r="F640" s="12" t="s">
        <v>497</v>
      </c>
      <c r="G640" s="12" t="s">
        <v>1005</v>
      </c>
      <c r="H640" s="12" t="s">
        <v>1254</v>
      </c>
      <c r="I640" s="12" t="s">
        <v>25</v>
      </c>
      <c r="J640" s="12" t="s">
        <v>25</v>
      </c>
    </row>
    <row customHeight="1" ht="12.4" r="641">
      <c r="B641" s="10"/>
      <c r="C641" s="10"/>
      <c r="D641" s="10"/>
      <c r="E641" s="10"/>
      <c r="F641" s="10"/>
      <c r="G641" s="10"/>
      <c r="H641" s="10"/>
      <c r="I641" s="10"/>
      <c r="J641" s="10"/>
    </row>
    <row customHeight="1" ht="13.15" r="642">
      <c r="B642" s="10"/>
      <c r="C642" s="10"/>
      <c r="E642" s="10"/>
      <c r="F642" s="10"/>
      <c r="G642" s="10"/>
      <c r="H642" s="10"/>
      <c r="I642" s="10"/>
      <c r="J642" s="10"/>
    </row>
    <row customHeight="1" ht="13.5" r="643">
      <c r="B643" s="10"/>
      <c r="J643" s="10"/>
    </row>
    <row ht="12.75" r="644">
      <c r="B644" s="10"/>
      <c r="J644" s="10"/>
    </row>
    <row ht="12.75" r="645"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B652" s="10"/>
      <c r="C652" s="10"/>
      <c r="D652" s="10"/>
      <c r="E652" s="10"/>
      <c r="F652" s="10"/>
      <c r="G652" s="10"/>
      <c r="H652" s="10"/>
      <c r="I652" s="10"/>
      <c r="J652" s="10"/>
    </row>
    <row customHeight="1" ht="12.4" r="653"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B662" s="10"/>
      <c r="C662" s="10"/>
      <c r="D662" s="10"/>
      <c r="E662" s="10"/>
      <c r="F662" s="10"/>
      <c r="G662" s="10"/>
      <c r="H662" s="10"/>
      <c r="I662" s="10"/>
      <c r="J662" s="10"/>
    </row>
    <row customHeight="1" ht="12.4" r="663">
      <c r="B663" s="10"/>
      <c r="C663" s="10"/>
      <c r="D663" s="10"/>
      <c r="E663" s="10"/>
      <c r="F663" s="10"/>
      <c r="G663" s="10"/>
      <c r="H663" s="10"/>
      <c r="I663" s="10"/>
      <c r="J663" s="10"/>
    </row>
    <row customHeight="1" ht="12.4" r="664"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B665" s="10"/>
      <c r="C665" s="10"/>
      <c r="D665" s="10"/>
      <c r="E665" s="10"/>
      <c r="F665" s="10"/>
      <c r="G665" s="10"/>
      <c r="H665" s="10"/>
      <c r="I665" s="10"/>
      <c r="J665" s="10"/>
    </row>
    <row customHeight="1" ht="12.4" r="666">
      <c r="B666" s="10"/>
      <c r="C666" s="10"/>
      <c r="D666" s="10"/>
      <c r="E666" s="10"/>
      <c r="F666" s="10"/>
      <c r="G666" s="10"/>
      <c r="H666" s="10"/>
      <c r="I666" s="10"/>
      <c r="J666" s="10"/>
    </row>
    <row customHeight="1" ht="12.4" r="667">
      <c r="B667" s="10"/>
      <c r="C667" s="10"/>
      <c r="D667" s="10"/>
      <c r="E667" s="10"/>
      <c r="F667" s="10"/>
      <c r="G667" s="10"/>
      <c r="H667" s="10"/>
      <c r="I667" s="10"/>
      <c r="J667" s="10"/>
    </row>
    <row customHeight="1" ht="13.1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customHeight="1" ht="12.4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ht="12.75"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ht="12.75"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ht="12.75"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ht="12.75"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ht="12.75"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ht="12.75"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ht="12.75"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ht="12.75"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ht="12.75"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ht="12.75"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ht="12.75"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ht="12.75"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ht="12.75"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ht="12.75"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ht="12.75"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ht="12.75"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ht="12.75"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ht="12.75"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ht="12.75"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  <row ht="12.75"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</row>
    <row ht="12.75"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</row>
    <row ht="12.75"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</row>
    <row ht="12.75"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</row>
    <row ht="12.75"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</row>
    <row ht="12.75"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</row>
    <row ht="12.75"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</row>
    <row ht="12.75"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</row>
    <row ht="12.75"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</row>
    <row ht="12.75"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</row>
    <row ht="12.75"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</row>
    <row ht="12.75"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</row>
    <row ht="12.75"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</row>
    <row ht="12.75"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</row>
    <row ht="12.75"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</row>
    <row ht="12.75"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</row>
    <row ht="12.75"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</row>
    <row ht="12.75"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</row>
    <row ht="12.75"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</row>
    <row ht="12.75"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</row>
    <row ht="12.75"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</row>
    <row ht="12.75"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</row>
    <row ht="12.75"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</row>
    <row ht="12.75"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</row>
    <row ht="12.75"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</row>
    <row ht="12.75"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</row>
    <row ht="12.75"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</row>
    <row ht="12.75"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</row>
    <row ht="12.75"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</row>
    <row ht="12.75"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</row>
    <row ht="12.75"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</row>
    <row ht="12.75"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</row>
    <row ht="12.75"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</row>
    <row ht="12.75"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</row>
    <row ht="12.75"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</row>
    <row ht="12.75"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</row>
    <row ht="12.75"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</row>
    <row ht="12.75"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</row>
    <row ht="12.75"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</row>
    <row ht="12.75"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</row>
    <row ht="12.75"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</row>
    <row ht="12.75"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</row>
    <row ht="12.75"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</row>
    <row ht="12.75"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</row>
    <row ht="12.75"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</row>
    <row ht="12.75"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</row>
    <row ht="12.75"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</row>
    <row ht="12.75"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</row>
    <row ht="12.75"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</row>
    <row ht="12.75"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</row>
    <row ht="12.75"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</row>
    <row ht="12.75"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</row>
    <row ht="12.75" r="108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</row>
    <row ht="12.75" r="109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</row>
    <row ht="12.75" r="109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</row>
    <row ht="12.75" r="109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</row>
    <row ht="12.75" r="1093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</row>
    <row ht="12.75" r="1094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</row>
    <row ht="12.75" r="109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</row>
    <row ht="12.75" r="10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</row>
    <row ht="12.75" r="1097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</row>
    <row ht="12.75" r="1098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</row>
    <row ht="12.75" r="109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</row>
    <row ht="12.75" r="110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</row>
    <row ht="12.75"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</row>
    <row ht="12.75"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</row>
    <row ht="12.75"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</row>
    <row ht="12.75" r="1104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</row>
    <row ht="12.75" r="110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</row>
    <row ht="12.75" r="110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</row>
    <row ht="12.75"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</row>
    <row ht="12.75"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</row>
    <row ht="12.75"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</row>
    <row ht="12.75"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</row>
    <row ht="12.75"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</row>
    <row ht="12.75"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</row>
    <row ht="12.75"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</row>
    <row ht="12.75"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</row>
    <row ht="12.75"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</row>
    <row ht="12.75" r="111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</row>
    <row ht="12.75" r="1117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</row>
    <row ht="12.75" r="1118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</row>
    <row ht="12.75" r="11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</row>
    <row ht="12.75" r="1120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</row>
    <row ht="12.75" r="1121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</row>
    <row ht="12.75" r="112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</row>
    <row ht="12.75" r="1123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</row>
    <row ht="12.75" r="1124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</row>
    <row ht="12.75" r="11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</row>
    <row ht="12.75" r="112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</row>
    <row ht="12.75" r="1127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</row>
    <row ht="12.75" r="1128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</row>
    <row ht="12.75" r="112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</row>
    <row ht="12.75" r="1130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</row>
    <row ht="12.75" r="1131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</row>
    <row ht="12.75" r="113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</row>
    <row ht="12.75" r="1133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</row>
    <row ht="12.75" r="1134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</row>
    <row ht="12.75" r="113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</row>
    <row ht="12.75" r="1136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</row>
    <row ht="12.75" r="1137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</row>
    <row ht="12.75" r="1138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</row>
    <row ht="12.75" r="113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</row>
    <row ht="12.75" r="1140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</row>
    <row ht="12.75" r="1141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</row>
    <row ht="12.75" r="114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</row>
    <row ht="12.75" r="1143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</row>
    <row ht="12.75" r="1144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</row>
    <row ht="12.75" r="114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</row>
    <row ht="12.75" r="1146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</row>
    <row ht="12.75" r="1147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</row>
    <row ht="12.75" r="1148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</row>
    <row ht="12.75" r="114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</row>
    <row ht="12.75" r="1150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</row>
    <row ht="12.75" r="1151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</row>
    <row ht="12.75" r="115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</row>
    <row ht="12.75" r="1153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</row>
    <row ht="12.75" r="1154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</row>
    <row ht="12.75" r="115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</row>
    <row ht="12.75" r="1156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</row>
    <row ht="12.75" r="1157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</row>
    <row ht="12.75" r="1158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</row>
    <row ht="12.75" r="1159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</row>
    <row ht="12.75" r="1160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</row>
    <row ht="12.75" r="1161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</row>
    <row ht="12.75" r="116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</row>
    <row ht="12.75" r="1163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</row>
    <row ht="12.75" r="1164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</row>
    <row ht="12.75" r="116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</row>
    <row ht="12.75" r="1166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</row>
    <row ht="12.75" r="1167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</row>
    <row ht="12.75" r="1168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</row>
    <row ht="12.75" r="1169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</row>
    <row ht="12.75" r="1170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</row>
    <row ht="12.75" r="1171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</row>
    <row ht="12.75" r="117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</row>
    <row ht="12.75" r="1173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</row>
    <row ht="12.75" r="1174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</row>
    <row ht="12.75" r="117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</row>
    <row ht="12.75" r="1176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</row>
    <row ht="12.75" r="1177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</row>
    <row ht="12.75" r="1178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</row>
    <row ht="12.75" r="1179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</row>
    <row ht="12.75" r="1180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</row>
    <row ht="12.75" r="1181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</row>
    <row ht="12.75" r="118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</row>
    <row ht="12.75" r="1183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</row>
    <row ht="12.75" r="1184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</row>
    <row ht="12.75" r="1185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</row>
    <row ht="12.75" r="1186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</row>
    <row ht="12.75" r="1187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</row>
    <row ht="12.75" r="1188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</row>
    <row ht="12.75" r="1189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</row>
    <row ht="12.75" r="1190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</row>
    <row ht="12.75" r="1191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</row>
    <row ht="12.75" r="119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</row>
    <row ht="12.75" r="1193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</row>
    <row ht="12.75" r="1194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</row>
    <row ht="12.75" r="1195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</row>
    <row ht="12.75" r="1196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</row>
    <row ht="12.75" r="1197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</row>
    <row ht="12.75" r="1198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</row>
    <row ht="12.75" r="1199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</row>
    <row ht="12.75" r="1200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</row>
    <row ht="12.75" r="1201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</row>
    <row ht="12.75" r="120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</row>
    <row ht="12.75" r="1203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</row>
    <row ht="12.75" r="1204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</row>
    <row ht="12.75" r="1205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</row>
    <row ht="12.75" r="1206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</row>
    <row ht="12.75" r="1207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</row>
    <row ht="12.75" r="1208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</row>
    <row ht="12.75" r="1209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</row>
    <row ht="12.75" r="1210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</row>
    <row ht="12.75" r="1211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</row>
    <row ht="12.75" r="121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</row>
    <row ht="12.75" r="1213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</row>
    <row ht="12.75" r="1214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</row>
    <row ht="12.75" r="121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</row>
    <row ht="12.75" r="1216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</row>
    <row ht="12.75" r="1217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</row>
    <row ht="12.75" r="1218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</row>
    <row ht="12.75" r="1219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</row>
    <row ht="12.75" r="1220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</row>
    <row ht="12.75" r="1221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</row>
    <row ht="12.75" r="122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</row>
    <row ht="12.75" r="1223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</row>
    <row ht="12.75" r="1224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</row>
    <row ht="12.75" r="122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</row>
    <row ht="12.75" r="1226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</row>
    <row ht="12.75" r="1227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</row>
    <row ht="12.75" r="1228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</row>
    <row ht="12.75" r="1229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</row>
    <row ht="12.75" r="1230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</row>
    <row ht="12.75" r="1231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</row>
    <row ht="12.75" r="123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</row>
    <row ht="12.75" r="1233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</row>
    <row ht="12.75" r="1234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</row>
    <row ht="12.75" r="1235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</row>
    <row ht="12.75" r="1236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</row>
    <row ht="12.75" r="1237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</row>
    <row ht="12.75" r="1238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</row>
    <row ht="12.75" r="1239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</row>
    <row ht="12.75" r="1240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</row>
    <row ht="12.75" r="1241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</row>
    <row ht="12.75" r="124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</row>
    <row ht="12.75" r="1243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</row>
    <row ht="12.75" r="1244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</row>
    <row ht="12.75" r="1245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</row>
    <row ht="12.75" r="1246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</row>
    <row ht="12.75" r="1247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</row>
    <row ht="12.75" r="1248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</row>
    <row ht="12.75" r="1249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</row>
    <row ht="12.75" r="1250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</row>
    <row ht="12.75" r="1251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</row>
    <row ht="12.75" r="125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</row>
    <row ht="12.75" r="1253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</row>
    <row ht="12.75" r="1254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</row>
    <row ht="12.75" r="1255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</row>
    <row ht="12.75" r="1256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</row>
    <row ht="12.75" r="1257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</row>
    <row ht="12.75" r="1258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</row>
    <row ht="12.75" r="1259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</row>
    <row ht="12.75" r="1260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</row>
    <row ht="12.75" r="1261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</row>
    <row ht="12.75" r="126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</row>
    <row ht="12.75" r="1263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</row>
    <row ht="12.75" r="1264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</row>
    <row ht="12.75" r="1265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</row>
    <row ht="12.75" r="1266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</row>
    <row ht="12.75" r="1267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</row>
    <row ht="12.75" r="1268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</row>
    <row ht="12.75" r="1269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</row>
    <row ht="12.75" r="1270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</row>
    <row ht="12.75" r="1271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</row>
    <row ht="12.75" r="127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</row>
    <row ht="12.75" r="1273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</row>
    <row ht="12.75" r="1274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</row>
    <row ht="12.75" r="1275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</row>
    <row ht="12.75" r="1276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</row>
    <row ht="12.75" r="1277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</row>
    <row ht="12.75" r="1278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</row>
    <row ht="12.75" r="1279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</row>
    <row ht="12.75" r="1280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</row>
    <row ht="12.75" r="1281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</row>
    <row ht="12.75" r="128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</row>
    <row ht="12.75" r="1283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</row>
    <row ht="12.75" r="1284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</row>
    <row ht="12.75" r="1285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</row>
    <row ht="12.75" r="1286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</row>
    <row ht="12.75" r="1287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</row>
    <row ht="12.75" r="1288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</row>
    <row ht="12.75" r="1289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</row>
    <row ht="12.75" r="1290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</row>
    <row ht="12.75" r="1291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</row>
    <row ht="12.75" r="129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</row>
    <row ht="12.75" r="1293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</row>
    <row ht="12.75" r="1294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</row>
    <row ht="12.75" r="1295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</row>
    <row ht="12.75" r="1296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</row>
    <row ht="12.75" r="1297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</row>
    <row ht="12.75" r="1298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</row>
    <row ht="12.75" r="1299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</row>
    <row ht="12.75" r="1300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</row>
    <row ht="12.75" r="1301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</row>
    <row ht="12.75" r="130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</row>
    <row ht="12.75" r="1303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</row>
    <row ht="12.75" r="1304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</row>
    <row ht="12.75" r="1305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</row>
    <row ht="12.75" r="1306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</row>
    <row ht="12.75" r="1307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</row>
    <row ht="12.75" r="1308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</row>
    <row ht="12.75" r="1309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</row>
    <row ht="12.75" r="1310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</row>
    <row ht="12.75" r="1311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</row>
    <row ht="12.75" r="131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</row>
    <row ht="12.75" r="1313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</row>
    <row ht="12.75" r="1314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</row>
    <row ht="12.75" r="1315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</row>
    <row ht="12.75" r="1316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</row>
    <row ht="12.75" r="1317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</row>
    <row ht="12.75" r="1318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</row>
    <row ht="12.75" r="1319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</row>
    <row ht="12.75" r="1320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</row>
    <row ht="12.75" r="1321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</row>
    <row ht="12.75" r="132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</row>
    <row ht="12.75" r="1323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</row>
    <row ht="12.75" r="1324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</row>
    <row ht="12.75" r="1325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</row>
    <row ht="12.75" r="1326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</row>
    <row ht="12.75" r="1327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</row>
    <row ht="12.75" r="1328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</row>
    <row ht="12.75" r="1329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</row>
    <row ht="12.75" r="1330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</row>
    <row ht="12.75" r="1331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</row>
    <row ht="12.75" r="133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</row>
    <row ht="12.75" r="1333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</row>
    <row ht="12.75" r="1334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</row>
    <row ht="12.75" r="1335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</row>
    <row ht="12.75" r="1336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</row>
    <row ht="12.75" r="1337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</row>
    <row ht="12.75" r="1338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</row>
    <row ht="12.75" r="1339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</row>
    <row ht="12.75" r="1340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</row>
    <row ht="12.75" r="1341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</row>
    <row ht="12.75" r="134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</row>
    <row ht="12.75" r="1343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</row>
    <row ht="12.75" r="1344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</row>
    <row ht="12.75" r="1345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</row>
    <row ht="12.75" r="1346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</row>
    <row ht="12.75" r="1347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</row>
    <row ht="12.75" r="1348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</row>
    <row ht="12.75" r="1349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</row>
    <row ht="12.75" r="1350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</row>
    <row ht="12.75" r="1351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</row>
    <row ht="12.75" r="135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</row>
    <row ht="12.75" r="1353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</row>
    <row ht="12.75" r="1354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</row>
    <row ht="12.75" r="1355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</row>
    <row ht="12.75" r="1356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</row>
    <row ht="12.75" r="1357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</row>
    <row ht="12.75" r="1358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</row>
    <row ht="12.75" r="1359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</row>
    <row ht="12.75" r="1360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</row>
    <row ht="12.75" r="1361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</row>
    <row ht="12.75" r="136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</row>
    <row ht="12.75" r="1363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</row>
    <row ht="12.75" r="1364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</row>
    <row ht="12.75" r="1365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</row>
    <row ht="12.75" r="1366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</row>
    <row ht="12.75" r="1367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</row>
    <row ht="12.75" r="1368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</row>
    <row ht="12.75" r="1369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</row>
    <row ht="12.75" r="1370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</row>
    <row ht="12.75" r="1371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</row>
    <row ht="12.75" r="137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</row>
    <row ht="12.75" r="1373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</row>
    <row ht="12.75" r="1374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</row>
    <row ht="12.75" r="1375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</row>
    <row ht="12.75" r="1376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</row>
    <row ht="12.75" r="1377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</row>
    <row ht="12.75" r="1378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</row>
    <row ht="12.75" r="1379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</row>
    <row ht="12.75" r="1380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</row>
    <row ht="12.75" r="1381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</row>
    <row ht="12.75" r="138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</row>
    <row ht="12.75" r="1383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</row>
    <row ht="12.75" r="1384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</row>
    <row ht="12.75" r="1385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</row>
    <row ht="12.75" r="1386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</row>
    <row ht="12.75" r="1387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</row>
    <row ht="12.75" r="1388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</row>
    <row ht="12.75" r="1389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</row>
    <row ht="12.75" r="1390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</row>
    <row ht="12.75" r="1391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</row>
    <row ht="12.75" r="139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</row>
    <row ht="12.75" r="1393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</row>
    <row ht="12.75" r="1394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</row>
    <row ht="12.75" r="1395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</row>
    <row ht="12.75" r="1396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</row>
    <row ht="12.75" r="1397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</row>
    <row ht="12.75" r="1398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</row>
    <row ht="12.75" r="1399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</row>
    <row ht="12.75" r="1400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</row>
    <row ht="12.75" r="1401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</row>
    <row ht="12.75" r="140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</row>
    <row ht="12.75" r="1403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</row>
    <row ht="12.75" r="1404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</row>
    <row ht="12.75" r="1405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</row>
    <row ht="12.75" r="1406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</row>
    <row ht="12.75" r="1407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</row>
    <row ht="12.75" r="1408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</row>
    <row ht="12.75" r="1409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</row>
    <row ht="12.75" r="1410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</row>
    <row ht="12.75" r="1411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</row>
    <row ht="12.75" r="141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</row>
    <row ht="12.75" r="1413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</row>
    <row ht="12.75" r="1414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</row>
    <row ht="12.75" r="1415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</row>
    <row ht="12.75" r="1416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</row>
    <row ht="12.75" r="1417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</row>
    <row ht="12.75" r="1418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</row>
    <row ht="12.75" r="1419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</row>
    <row ht="12.75" r="1420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</row>
    <row ht="12.75" r="1421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</row>
    <row ht="12.75" r="142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</row>
    <row ht="12.75" r="1423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</row>
    <row ht="12.75" r="1424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</row>
    <row ht="12.75" r="1425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</row>
    <row ht="12.75" r="1426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</row>
    <row ht="12.75" r="1427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</row>
    <row ht="12.75" r="1428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</row>
    <row ht="12.75" r="1429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</row>
    <row ht="12.75" r="1430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</row>
    <row ht="12.75" r="1431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</row>
    <row ht="12.75" r="143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</row>
    <row ht="12.75" r="1433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</row>
    <row ht="12.75" r="1434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</row>
    <row ht="12.75" r="1435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</row>
    <row ht="12.75" r="1436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</row>
    <row ht="12.75" r="1437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</row>
    <row ht="12.75" r="1438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</row>
    <row ht="12.75" r="1439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</row>
    <row ht="12.75" r="1440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</row>
    <row ht="12.75" r="1441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</row>
    <row ht="12.75" r="144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</row>
    <row ht="12.75" r="1443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</row>
    <row ht="12.75" r="1444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</row>
    <row ht="12.75" r="1445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</row>
    <row ht="12.75" r="1446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</row>
    <row ht="12.75" r="1447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</row>
    <row ht="12.75" r="1448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</row>
    <row ht="12.75" r="1449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</row>
    <row ht="12.75" r="1450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</row>
    <row ht="12.75" r="1451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</row>
    <row ht="12.75" r="145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</row>
    <row ht="12.75" r="1453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</row>
    <row ht="12.75" r="1454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</row>
    <row ht="12.75" r="1455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</row>
    <row ht="12.75" r="1456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</row>
    <row ht="12.75" r="1457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</row>
    <row ht="12.75" r="1458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</row>
    <row ht="12.75" r="1459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</row>
    <row ht="12.75" r="1460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</row>
    <row ht="12.75" r="1461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</row>
    <row ht="12.75" r="146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</row>
    <row ht="12.75" r="1463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</row>
    <row ht="12.75" r="1464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</row>
    <row ht="12.75" r="1465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</row>
    <row ht="12.75" r="1466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</row>
    <row ht="12.75" r="1467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</row>
    <row ht="12.75" r="1468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</row>
    <row ht="12.75" r="1469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</row>
    <row ht="12.75" r="1470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</row>
    <row ht="12.75" r="1471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</row>
    <row ht="12.75" r="147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</row>
    <row ht="12.75" r="1473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</row>
    <row ht="12.75" r="1474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</row>
    <row ht="12.75" r="1475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</row>
    <row ht="12.75" r="1476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</row>
    <row ht="12.75" r="1477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</row>
    <row ht="12.75" r="1478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</row>
    <row ht="12.75" r="1479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</row>
    <row ht="12.75" r="1480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</row>
    <row ht="12.75" r="1481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</row>
    <row ht="12.75" r="148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</row>
    <row ht="12.75" r="1483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</row>
    <row ht="12.75" r="1484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</row>
    <row ht="12.75" r="1485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</row>
    <row ht="12.75" r="1486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</row>
    <row ht="12.75" r="1487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</row>
    <row ht="12.75" r="1488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</row>
    <row ht="12.75" r="1489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</row>
    <row ht="12.75" r="1490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</row>
    <row ht="12.75" r="1491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</row>
    <row ht="12.75" r="149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</row>
    <row ht="12.75" r="1493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</row>
    <row ht="12.75" r="1494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</row>
    <row ht="12.75" r="1495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</row>
    <row ht="12.75" r="1496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</row>
    <row ht="12.75" r="1497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</row>
    <row ht="12.75" r="1498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</row>
    <row ht="12.75" r="1499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</row>
    <row ht="12.75" r="1500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</row>
    <row ht="12.75" r="1501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</row>
    <row ht="12.75" r="150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</row>
    <row ht="12.75" r="1503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</row>
    <row ht="12.75" r="1504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</row>
    <row ht="12.75" r="1505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</row>
    <row ht="12.75" r="1506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</row>
    <row ht="12.75" r="1507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</row>
    <row ht="12.75" r="1508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</row>
    <row ht="12.75" r="1509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</row>
    <row ht="12.75" r="1510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</row>
    <row ht="12.75" r="1511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</row>
    <row ht="12.75" r="151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</row>
    <row ht="12.75" r="1513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</row>
    <row ht="12.75" r="1514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</row>
    <row ht="12.75" r="1515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</row>
    <row ht="12.75" r="1516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</row>
    <row ht="12.75" r="1517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</row>
    <row ht="12.75" r="1518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</row>
    <row ht="12.75" r="1519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</row>
    <row ht="12.75" r="1520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</row>
    <row ht="12.75" r="1521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</row>
    <row ht="12.75" r="152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</row>
    <row ht="12.75" r="1523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</row>
    <row ht="12.75" r="1524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</row>
    <row ht="12.75" r="1525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</row>
    <row ht="12.75" r="1526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</row>
    <row ht="12.75" r="1527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</row>
    <row ht="12.75" r="1528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</row>
    <row ht="12.75" r="1529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</row>
    <row ht="12.75" r="1530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</row>
    <row ht="12.75" r="1531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</row>
    <row ht="12.75" r="153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</row>
    <row ht="12.75" r="1533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</row>
    <row ht="12.75" r="1534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</row>
    <row ht="12.75" r="1535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</row>
    <row ht="12.75" r="1536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</row>
    <row ht="12.75" r="1537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</row>
    <row ht="12.75" r="1538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</row>
    <row ht="12.75" r="1539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</row>
    <row ht="12.75" r="1540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</row>
    <row ht="12.75" r="1541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</row>
    <row ht="12.75" r="154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</row>
    <row ht="12.75" r="1543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</row>
    <row ht="12.75" r="1544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</row>
    <row ht="12.75" r="1545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</row>
    <row ht="12.75" r="1546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</row>
    <row ht="12.75" r="1547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</row>
    <row ht="12.75" r="1548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</row>
    <row ht="12.75" r="1549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</row>
    <row ht="12.75" r="1550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</row>
    <row ht="12.75" r="1551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</row>
    <row ht="12.75" r="155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</row>
    <row ht="12.75" r="1553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</row>
    <row ht="12.75" r="1554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</row>
    <row ht="12.75" r="1555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</row>
    <row ht="12.75" r="1556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</row>
    <row ht="12.75" r="1557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</row>
    <row ht="12.75" r="1558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</row>
    <row ht="12.75" r="1559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</row>
    <row ht="12.75" r="1560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</row>
    <row ht="12.75" r="1561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</row>
    <row ht="12.75" r="156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</row>
    <row ht="12.75" r="1563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</row>
    <row ht="12.75" r="1564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</row>
    <row ht="12.75" r="1565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</row>
    <row ht="12.75" r="1566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</row>
    <row ht="12.75" r="1567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</row>
    <row ht="12.75" r="1568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</row>
    <row ht="12.75" r="1569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</row>
    <row ht="12.75" r="1570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</row>
    <row ht="12.75" r="1571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</row>
    <row ht="12.75" r="157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</row>
    <row ht="12.75" r="1573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</row>
    <row ht="12.75" r="1574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</row>
    <row ht="12.75" r="1575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</row>
    <row ht="12.75" r="1576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</row>
    <row ht="12.75" r="1577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</row>
    <row ht="12.75" r="1578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</row>
    <row ht="12.75" r="1579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</row>
    <row ht="12.75" r="1580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</row>
    <row ht="12.75" r="1581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</row>
    <row ht="12.75" r="158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</row>
    <row ht="12.75" r="1583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</row>
    <row ht="12.75" r="1584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</row>
    <row ht="12.75" r="1585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</row>
    <row ht="12.75" r="1586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</row>
    <row ht="12.75" r="1587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</row>
    <row ht="12.75" r="1588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</row>
    <row ht="12.75" r="1589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</row>
    <row ht="12.75" r="1590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</row>
    <row ht="12.75" r="1591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</row>
    <row ht="12.75" r="159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</row>
    <row ht="12.75" r="1593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</row>
    <row ht="12.75" r="1594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</row>
    <row ht="12.75" r="1595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</row>
    <row ht="12.75" r="1596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</row>
    <row ht="12.75" r="1597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</row>
    <row ht="12.75" r="1598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</row>
    <row ht="12.75" r="1599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</row>
    <row ht="12.75" r="1600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</row>
    <row ht="12.75" r="1601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</row>
    <row ht="12.75" r="160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</row>
    <row ht="12.75" r="1603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</row>
    <row ht="12.75" r="1604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</row>
    <row ht="12.75" r="1605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</row>
    <row ht="12.75" r="1606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</row>
    <row ht="12.75" r="1607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</row>
    <row ht="12.75" r="1608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</row>
    <row ht="12.75" r="1609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</row>
    <row ht="12.75" r="1610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</row>
    <row ht="12.75" r="1611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</row>
    <row ht="12.75" r="161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</row>
    <row ht="12.75" r="1613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</row>
    <row ht="12.75" r="1614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</row>
    <row ht="12.75" r="1615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</row>
    <row ht="12.75" r="1616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</row>
    <row ht="12.75" r="1617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</row>
    <row ht="12.75" r="1618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</row>
    <row ht="12.75" r="1619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</row>
    <row ht="12.75" r="1620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</row>
    <row ht="12.75" r="1621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</row>
    <row ht="12.75" r="162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</row>
    <row ht="12.75" r="1623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</row>
    <row ht="12.75" r="1624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