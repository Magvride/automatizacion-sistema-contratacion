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<sst xmlns="http://schemas.openxmlformats.org/spreadsheetml/2006/main" count="386" uniqueCount="386">
  <si>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</si>
  <si>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</si>
  <si>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</si>
  <si>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</si>
  <si>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</si>
  <si>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</si>
  <si>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</si>
  <si>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</si>
  <si>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</si>
  <si>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</si>
  <si>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</si>
  <si>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</si>
  <si>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</si>
  <si>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</si>
  <si>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</si>
  <si>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</si>
  <si>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</si>
  <si>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</si>
  <si>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</si>
  <si>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</si>
  <si>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</si>
  <si>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</si>
  <si>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25/08/2026 al ${table:fechaHasta}</t>
  </si>
  <si>
    <t>Fecha del reporte: 25/08/2026 al 31/08/2026</t>
  </si>
  <si>
    <t>234-2026011646</t>
  </si>
  <si>
    <t>20-2026000301</t>
  </si>
  <si>
    <t>20-2026000356</t>
  </si>
  <si>
    <t>20-2026000351</t>
  </si>
  <si>
    <t>18-2026001169</t>
  </si>
  <si>
    <t>270-2026000733</t>
  </si>
  <si>
    <t>20-2026000272</t>
  </si>
  <si>
    <t>374-2026000030</t>
  </si>
  <si>
    <t>374-2026000031</t>
  </si>
  <si>
    <t/>
  </si>
  <si>
    <t>18-2026002493</t>
  </si>
  <si>
    <t>20-2026000368</t>
  </si>
  <si>
    <t>18-2026002403</t>
  </si>
  <si>
    <t>374-2026000032</t>
  </si>
  <si>
    <t>18-2026002455</t>
  </si>
  <si>
    <t>18-2026002489</t>
  </si>
  <si>
    <t>18-2026002496</t>
  </si>
  <si>
    <t>270-2026000265</t>
  </si>
  <si>
    <t>20-2026000307</t>
  </si>
  <si>
    <t>18-2026002335</t>
  </si>
  <si>
    <t>18-2026002467</t>
  </si>
  <si>
    <t>18-2026002407</t>
  </si>
  <si>
    <t>18-2026002485</t>
  </si>
  <si>
    <t>18-2026002408</t>
  </si>
  <si>
    <t>18-2026002458</t>
  </si>
  <si>
    <t>18-2026002468</t>
  </si>
  <si>
    <t>18-2026002484</t>
  </si>
  <si>
    <t>18-20260810</t>
  </si>
  <si>
    <t>18-2026002477</t>
  </si>
  <si>
    <t>18-2026002483</t>
  </si>
  <si>
    <t>18-2026002448</t>
  </si>
  <si>
    <t>270-2026000746</t>
  </si>
  <si>
    <t>18-2026002398</t>
  </si>
  <si>
    <t>18-2026002343</t>
  </si>
  <si>
    <t>18-2026002421</t>
  </si>
  <si>
    <t>298-2026000267</t>
  </si>
  <si>
    <t>234-2026011837</t>
  </si>
  <si>
    <t>18-2026002512</t>
  </si>
  <si>
    <t>18-2026002492</t>
  </si>
  <si>
    <t>270-2026000744</t>
  </si>
  <si>
    <t>20-2026000325</t>
  </si>
  <si>
    <t>18-2026002491</t>
  </si>
  <si>
    <t>18-2026002295</t>
  </si>
  <si>
    <t>18-2026002502</t>
  </si>
  <si>
    <t>18-2026002480</t>
  </si>
  <si>
    <t>18-2026002500</t>
  </si>
  <si>
    <t>20-2026000333</t>
  </si>
  <si>
    <t>20-2026000334</t>
  </si>
  <si>
    <t>18-2026002495</t>
  </si>
  <si>
    <t>18-2026002478</t>
  </si>
  <si>
    <t>20-2026000348</t>
  </si>
  <si>
    <t>18-2026002457</t>
  </si>
  <si>
    <t>19-2026000113</t>
  </si>
  <si>
    <t>234-2026011770</t>
  </si>
  <si>
    <t>234-2026011733</t>
  </si>
  <si>
    <t>20-2026000350</t>
  </si>
  <si>
    <t>20-2026000337</t>
  </si>
  <si>
    <t>18-2026002399</t>
  </si>
  <si>
    <t>20-2026000330</t>
  </si>
  <si>
    <t>20-2026000355</t>
  </si>
  <si>
    <t>20-2026000312</t>
  </si>
  <si>
    <t>49-2026000022</t>
  </si>
  <si>
    <t>20-2026000338</t>
  </si>
  <si>
    <t>20-2026000354</t>
  </si>
  <si>
    <t>18-2026002465</t>
  </si>
  <si>
    <t>18-2026002437</t>
  </si>
  <si>
    <t>49-2026000023</t>
  </si>
  <si>
    <t>234-2026011482</t>
  </si>
  <si>
    <t>234-2026010066</t>
  </si>
  <si>
    <t>234-2026010697</t>
  </si>
  <si>
    <t>234-2026010170</t>
  </si>
  <si>
    <t>234-2026010464</t>
  </si>
  <si>
    <t>18-2026002487</t>
  </si>
  <si>
    <t>20-2026000362</t>
  </si>
  <si>
    <t>18-2026002429</t>
  </si>
  <si>
    <t>2-2026002513</t>
  </si>
  <si>
    <t>3-2026002515</t>
  </si>
  <si>
    <t>1-2026002499</t>
  </si>
  <si>
    <t>20-2026000343</t>
  </si>
  <si>
    <t>18-2026002498</t>
  </si>
  <si>
    <t>18-2026002520</t>
  </si>
  <si>
    <t>18-2026002488</t>
  </si>
  <si>
    <t>270-2026000748</t>
  </si>
  <si>
    <t>18-2026002494</t>
  </si>
  <si>
    <t>18-2026002844</t>
  </si>
  <si>
    <t>20-2026000319</t>
  </si>
  <si>
    <t>4-2026002521</t>
  </si>
  <si>
    <t>270-2026000738</t>
  </si>
  <si>
    <t>18-2026002519</t>
  </si>
  <si>
    <t>20-2026000371</t>
  </si>
  <si>
    <t>270-2026000614</t>
  </si>
  <si>
    <t>20-2026000363</t>
  </si>
  <si>
    <t>18-2026002337</t>
  </si>
  <si>
    <t>18-2026002516</t>
  </si>
  <si>
    <t>20-2026000373</t>
  </si>
  <si>
    <t>20-2026000321</t>
  </si>
  <si>
    <t>298-2026000268</t>
  </si>
  <si>
    <t>20-2026000317</t>
  </si>
  <si>
    <t>20-2026000358</t>
  </si>
  <si>
    <t>2240_SEDE_BARRANCABERMEJA</t>
  </si>
  <si>
    <t>6540_ESC_ING_CIVIL</t>
  </si>
  <si>
    <t>4110_GIT</t>
  </si>
  <si>
    <t>6250_ESC_EDUCACION</t>
  </si>
  <si>
    <t>1112_UISALUD</t>
  </si>
  <si>
    <t>3112_DIV_CONTRATACION</t>
  </si>
  <si>
    <t>6150_ESC_QUIMICA</t>
  </si>
  <si>
    <t>6290_DPTO_EDUCACION_FISICA_DEPORTES</t>
  </si>
  <si>
    <t>6280_ESC_TRABAJO_SOCIAL</t>
  </si>
  <si>
    <t>6868_DPTO_SALUD_PUBLICA</t>
  </si>
  <si>
    <t>6530_ESC_ESTUDIOS_INDUST_EMPRESARIALES</t>
  </si>
  <si>
    <t>2250_SEDE_BARBOSA</t>
  </si>
  <si>
    <t>6830_ESC_ENFERMERIA</t>
  </si>
  <si>
    <t>3190_DTIC</t>
  </si>
  <si>
    <t>6820_ESC_MICROBIOLOGIA</t>
  </si>
  <si>
    <t>6450_ESC_ING_QUIMICA</t>
  </si>
  <si>
    <t>6860_ESC_MEDICINA</t>
  </si>
  <si>
    <t>6863_DPTO_GINECOBSTETRICIA</t>
  </si>
  <si>
    <t>3180_DIV_GESTION_TALENTO_HUMANO</t>
  </si>
  <si>
    <t>2140_BIBLIOTECA</t>
  </si>
  <si>
    <t>4110_VICE_INVESTIGACION_EXTENSION</t>
  </si>
  <si>
    <t>1130_PLANEACION</t>
  </si>
  <si>
    <t>3140_DIV_FINANCIERA</t>
  </si>
  <si>
    <t>3160_DIV_PLANTA_FISICA</t>
  </si>
  <si>
    <t>6230_ESC_DERECHO_CIENCIA_POLITICA</t>
  </si>
  <si>
    <t>6120_ESC_BIOLOGIA</t>
  </si>
  <si>
    <t>6220_ESC_ARTES</t>
  </si>
  <si>
    <t>2110_VICE_ACADEMICA</t>
  </si>
  <si>
    <t>3170_DIV_PUBLICACIONES</t>
  </si>
  <si>
    <t>6560_ESC_ING_MECANICA</t>
  </si>
  <si>
    <t>3150_DMT</t>
  </si>
  <si>
    <t>6410_DEC_FAC_ING_FISICO_QUIMICAS</t>
  </si>
  <si>
    <t>6861_DPTO_CIENCIAS_BASICAS</t>
  </si>
  <si>
    <t>2220_SEDE_SOCORRO</t>
  </si>
  <si>
    <t>6212_INSTITUTO_LENGUAS</t>
  </si>
  <si>
    <t>6140_ESC_MATEMATICAS</t>
  </si>
  <si>
    <t>3110_VICE_ADMINISTRATIVA</t>
  </si>
  <si>
    <t>6867_DPTO_SALUD_MENTAL</t>
  </si>
  <si>
    <t>6850_ESC_NUTRICION_DIETETICA</t>
  </si>
  <si>
    <t>4110_CICTA</t>
  </si>
  <si>
    <t>1110_RECTORIA</t>
  </si>
  <si>
    <t>2160_DIR_ADMISIONES_REGISTRO_ACADE</t>
  </si>
  <si>
    <t>C09_CONTRATOS</t>
  </si>
  <si>
    <t>C09.10_ORDEN_PAGO</t>
  </si>
  <si>
    <t>C09.08_ORDEN_COMPRA</t>
  </si>
  <si>
    <t>C09.11_ORDEN_PRESTACION_SERVICIOS</t>
  </si>
  <si>
    <t>C09.23_CONTR_PREST_SERVI_RED_SALUD</t>
  </si>
  <si>
    <t>C09.29_ORDEN_PREST_SERVI_IMPOR</t>
  </si>
  <si>
    <t>C09.33_ORDEN_SUMINISTROS</t>
  </si>
  <si>
    <t>C09.17_ORDEN_CONSULTORIA</t>
  </si>
  <si>
    <t>C09.12_ORDEN_TRABAJO</t>
  </si>
  <si>
    <t>C09.28_ORDEN_COMPRA_IMPORTACION</t>
  </si>
  <si>
    <t>C09._CONTRATO_GENERAL</t>
  </si>
  <si>
    <t>C09.19_CONTRATOS_INTERADMINISTRATIVOS</t>
  </si>
  <si>
    <t>25/08/2026 09:32</t>
  </si>
  <si>
    <t>25/08/2026 09:08</t>
  </si>
  <si>
    <t>25/08/2026 09:44</t>
  </si>
  <si>
    <t>25/08/2026 10:12</t>
  </si>
  <si>
    <t>25/08/2026 09:04</t>
  </si>
  <si>
    <t>26/08/2026 11:11</t>
  </si>
  <si>
    <t>25/08/2026 15:25</t>
  </si>
  <si>
    <t>26/08/2026 07:43</t>
  </si>
  <si>
    <t>26/08/2026 07:53</t>
  </si>
  <si>
    <t>26/08/2026 07:55</t>
  </si>
  <si>
    <t>26/08/2026 07:57</t>
  </si>
  <si>
    <t>27/08/2026 09:46</t>
  </si>
  <si>
    <t>27/08/2026 08:25</t>
  </si>
  <si>
    <t>26/08/2026 11:28</t>
  </si>
  <si>
    <t>26/08/2026 08:20</t>
  </si>
  <si>
    <t>26/08/2026 10:05</t>
  </si>
  <si>
    <t>26/08/2026 15:36</t>
  </si>
  <si>
    <t>26/08/2026 15:46</t>
  </si>
  <si>
    <t>26/08/2026 09:42</t>
  </si>
  <si>
    <t>26/08/2026 09:47</t>
  </si>
  <si>
    <t>26/08/2026 17:09</t>
  </si>
  <si>
    <t>26/08/2026 11:52</t>
  </si>
  <si>
    <t>26/08/2026 14:10</t>
  </si>
  <si>
    <t>26/08/2026 12:37</t>
  </si>
  <si>
    <t>25/08/2026 15:30</t>
  </si>
  <si>
    <t>25/08/2026 15:04</t>
  </si>
  <si>
    <t>25/08/2026 16:10</t>
  </si>
  <si>
    <t>27/08/2026 17:04</t>
  </si>
  <si>
    <t>27/08/2026 17:01</t>
  </si>
  <si>
    <t>27/08/2026 16:19</t>
  </si>
  <si>
    <t>28/08/2026 11:57</t>
  </si>
  <si>
    <t>28/08/2026 13:57</t>
  </si>
  <si>
    <t>28/08/2026 10:51</t>
  </si>
  <si>
    <t>28/08/2026 12:06</t>
  </si>
  <si>
    <t>28/08/2026 11:56</t>
  </si>
  <si>
    <t>27/08/2026 10:46</t>
  </si>
  <si>
    <t>27/08/2026 10:50</t>
  </si>
  <si>
    <t>28/08/2026 11:27</t>
  </si>
  <si>
    <t>28/08/2026 11:41</t>
  </si>
  <si>
    <t>27/08/2026 11:47</t>
  </si>
  <si>
    <t>25/08/2026 14:02</t>
  </si>
  <si>
    <t>28/08/2026 10:10</t>
  </si>
  <si>
    <t>28/08/2026 11:19</t>
  </si>
  <si>
    <t>28/08/2026 11:55</t>
  </si>
  <si>
    <t>28/08/2026 11:54</t>
  </si>
  <si>
    <t>28/08/2026 08:53</t>
  </si>
  <si>
    <t>28/08/2026 15:22</t>
  </si>
  <si>
    <t>28/08/2026 15:09</t>
  </si>
  <si>
    <t>28/08/2026 15:08</t>
  </si>
  <si>
    <t>27/08/2026 16:31</t>
  </si>
  <si>
    <t>27/08/2026 11:31</t>
  </si>
  <si>
    <t>27/08/2026 11:51</t>
  </si>
  <si>
    <t>27/08/2026 17:09</t>
  </si>
  <si>
    <t>27/08/2026 17:08</t>
  </si>
  <si>
    <t>27/08/2026 16:20</t>
  </si>
  <si>
    <t>27/08/2026 11:19</t>
  </si>
  <si>
    <t>27/08/2026 11:30</t>
  </si>
  <si>
    <t>27/08/2026 11:42</t>
  </si>
  <si>
    <t>27/08/2026 09:25</t>
  </si>
  <si>
    <t>27/08/2026 09:32</t>
  </si>
  <si>
    <t>26/08/2026 15:45</t>
  </si>
  <si>
    <t>27/08/2026 11:50</t>
  </si>
  <si>
    <t>28/08/2026 08:46</t>
  </si>
  <si>
    <t>28/08/2026 08:47</t>
  </si>
  <si>
    <t>27/08/2026 12:40</t>
  </si>
  <si>
    <t>27/08/2026 15:13</t>
  </si>
  <si>
    <t>27/08/2026 15:14</t>
  </si>
  <si>
    <t>25/08/2026 14:40</t>
  </si>
  <si>
    <t>27/08/2026 11:13</t>
  </si>
  <si>
    <t>27/08/2026 11:49</t>
  </si>
  <si>
    <t>27/08/2026 11:48</t>
  </si>
  <si>
    <t>27/08/2026 15:18</t>
  </si>
  <si>
    <t>25/08/2026 14:44</t>
  </si>
  <si>
    <t>27/08/2026 15:04</t>
  </si>
  <si>
    <t>27/08/2026 09:31</t>
  </si>
  <si>
    <t>27/08/2026 13:29</t>
  </si>
  <si>
    <t>27/08/2026 15:55</t>
  </si>
  <si>
    <t>27/08/2026 15:45</t>
  </si>
  <si>
    <t>25/08/2026 12:11</t>
  </si>
  <si>
    <t>28/08/2026 16:56</t>
  </si>
  <si>
    <t>29/08/2026 12:17</t>
  </si>
  <si>
    <t>28/08/2026 16:31</t>
  </si>
  <si>
    <t>28/08/2026 15:42</t>
  </si>
  <si>
    <t>28/08/2026 15:41</t>
  </si>
  <si>
    <t>28/08/2026 15:43</t>
  </si>
  <si>
    <t>28/08/2026 16:25</t>
  </si>
  <si>
    <t>28/08/2026 16:15</t>
  </si>
  <si>
    <t>28/08/2026 16:54</t>
  </si>
  <si>
    <t>31/08/2026 07:29</t>
  </si>
  <si>
    <t>31/08/2026 10:30</t>
  </si>
  <si>
    <t>31/08/2026 10:48</t>
  </si>
  <si>
    <t>31/08/2026 10:19</t>
  </si>
  <si>
    <t>31/08/2026 11:08</t>
  </si>
  <si>
    <t>31/08/2026 08:33</t>
  </si>
  <si>
    <t>31/08/2026 10:56</t>
  </si>
  <si>
    <t>31/08/2026 10:37</t>
  </si>
  <si>
    <t>31/08/2026 12:13</t>
  </si>
  <si>
    <t>31/08/2026 14:09</t>
  </si>
  <si>
    <t>31/08/2026 14:22</t>
  </si>
  <si>
    <t>31/08/2026 11:59</t>
  </si>
  <si>
    <t>31/08/2026 12:24</t>
  </si>
  <si>
    <t>31/08/2026 11:33</t>
  </si>
  <si>
    <t>31/08/2026 08:54</t>
  </si>
  <si>
    <t>31/08/2026 14:37</t>
  </si>
  <si>
    <t>31/08/2026 11:48</t>
  </si>
  <si>
    <t>31/08/2026 11:55</t>
  </si>
  <si>
    <t>31/08/2026 08:26</t>
  </si>
  <si>
    <t>31/08/2026 08:21</t>
  </si>
  <si>
    <t>31/08/2026 08:08</t>
  </si>
  <si>
    <t>25/08/2026 11:56</t>
  </si>
  <si>
    <t>31/08/2026 08:24</t>
  </si>
  <si>
    <t>31/08/2026 08:31</t>
  </si>
  <si>
    <t>31/08/2026 08:30</t>
  </si>
  <si>
    <t>31/08/2026 08:32</t>
  </si>
  <si>
    <t>31/08/2026 09:32</t>
  </si>
  <si>
    <t>27/08/2026 09:28</t>
  </si>
  <si>
    <t>31/08/2026 09:58</t>
  </si>
  <si>
    <t>31/08/2026 10:07</t>
  </si>
  <si>
    <t>31/08/2026 08:29</t>
  </si>
  <si>
    <t>31/08/2026 08:28</t>
  </si>
  <si>
    <t>31/08/2026 08:36</t>
  </si>
  <si>
    <t>31/08/2026 08:41</t>
  </si>
  <si>
    <t>31/08/2026 08:20</t>
  </si>
  <si>
    <t>31/08/2026 08:27</t>
  </si>
  <si>
    <t>31/08/2026 15:38</t>
  </si>
  <si>
    <t>31/08/2026 11:13</t>
  </si>
  <si>
    <t>26/08/2026 09:57</t>
  </si>
  <si>
    <t>31/08/2026 11:14</t>
  </si>
  <si>
    <t>31/08/2026 15:21</t>
  </si>
  <si>
    <t>27/08/2026 09:05</t>
  </si>
  <si>
    <t>31/08/2026 09:17</t>
  </si>
  <si>
    <t>31/08/2026 09:13</t>
  </si>
  <si>
    <t>31/08/2026 15:56</t>
  </si>
  <si>
    <t>27/08/2026 14:13</t>
  </si>
  <si>
    <t>31/08/2026 15:23</t>
  </si>
  <si>
    <t>31/08/2026 13:58</t>
  </si>
  <si>
    <t>31/08/2026 15:48</t>
  </si>
  <si>
    <t>31/08/2026 15:54</t>
  </si>
  <si>
    <t>31/08/2026 15:55</t>
  </si>
  <si>
    <t>27/08/2026 16:49</t>
  </si>
  <si>
    <t>31/08/2026 11:44</t>
  </si>
  <si>
    <t>31/08/2026 15:47</t>
  </si>
  <si>
    <t>31/08/2026 16:19</t>
  </si>
  <si>
    <t>25/08/2026 10:01</t>
  </si>
  <si>
    <t>25/08/2026 10:50</t>
  </si>
  <si>
    <t>25/08/2026 09:05</t>
  </si>
  <si>
    <t>26/08/2026 10:30</t>
  </si>
  <si>
    <t>26/08/2026 07:54</t>
  </si>
  <si>
    <t>27/08/2026 09:53</t>
  </si>
  <si>
    <t>26/08/2026 08:21</t>
  </si>
  <si>
    <t>26/08/2026 15:37</t>
  </si>
  <si>
    <t>26/08/2026 15:44</t>
  </si>
  <si>
    <t>26/08/2026 16:56</t>
  </si>
  <si>
    <t>25/08/2026 15:29</t>
  </si>
  <si>
    <t>27/08/2026 08:01</t>
  </si>
  <si>
    <t>27/08/2026 17:05</t>
  </si>
  <si>
    <t>28/08/2026 12:19</t>
  </si>
  <si>
    <t>27/08/2026 10:51</t>
  </si>
  <si>
    <t>28/08/2026 10:04</t>
  </si>
  <si>
    <t>28/08/2026 10:32</t>
  </si>
  <si>
    <t>28/08/2026 15:20</t>
  </si>
  <si>
    <t>28/08/2026 15:24</t>
  </si>
  <si>
    <t>28/08/2026 14:17</t>
  </si>
  <si>
    <t>27/08/2026 14:16</t>
  </si>
  <si>
    <t>27/08/2026 14:20</t>
  </si>
  <si>
    <t>27/08/2026 11:46</t>
  </si>
  <si>
    <t>27/08/2026 09:26</t>
  </si>
  <si>
    <t>27/08/2026 09:33</t>
  </si>
  <si>
    <t>28/08/2026 08:40</t>
  </si>
  <si>
    <t>28/08/2026 08:28</t>
  </si>
  <si>
    <t>27/08/2026 15:11</t>
  </si>
  <si>
    <t>27/08/2026 15:26</t>
  </si>
  <si>
    <t>27/08/2026 11:09</t>
  </si>
  <si>
    <t>27/08/2026 11:15</t>
  </si>
  <si>
    <t>27/08/2026 14:42</t>
  </si>
  <si>
    <t>27/08/2026 12:02</t>
  </si>
  <si>
    <t>27/08/2026 15:56</t>
  </si>
  <si>
    <t>27/08/2026 16:00</t>
  </si>
  <si>
    <t>29/08/2026 12:18</t>
  </si>
  <si>
    <t>31/08/2026 06:42</t>
  </si>
  <si>
    <t>28/08/2026 10:05</t>
  </si>
  <si>
    <t>28/08/2026 15:44</t>
  </si>
  <si>
    <t>28/08/2026 16:26</t>
  </si>
  <si>
    <t>28/08/2026 16:16</t>
  </si>
  <si>
    <t>31/08/2026 07:30</t>
  </si>
  <si>
    <t>31/08/2026 10:31</t>
  </si>
  <si>
    <t>31/08/2026 10:49</t>
  </si>
  <si>
    <t>31/08/2026 10:52</t>
  </si>
  <si>
    <t>31/08/2026 10:57</t>
  </si>
  <si>
    <t>31/08/2026 12:14</t>
  </si>
  <si>
    <t>31/08/2026 12:00</t>
  </si>
  <si>
    <t>31/08/2026 12:03</t>
  </si>
  <si>
    <t>31/08/2026 12:25</t>
  </si>
  <si>
    <t>31/08/2026 08:09</t>
  </si>
  <si>
    <t>31/08/2026 08:25</t>
  </si>
  <si>
    <t>31/08/2026 09:44</t>
  </si>
  <si>
    <t>31/08/2026 10:08</t>
  </si>
  <si>
    <t>31/08/2026 08:42</t>
  </si>
  <si>
    <t>31/08/2026 15:40</t>
  </si>
  <si>
    <t>31/08/2026 11:10</t>
  </si>
  <si>
    <t>31/08/2026 09:18</t>
  </si>
  <si>
    <t>01/09/2026 11:33</t>
  </si>
  <si>
    <t>31/08/2026 16:51</t>
  </si>
  <si>
    <t>31/08/2026 17:02</t>
  </si>
  <si>
    <t>31/08/2026 15:49</t>
  </si>
  <si>
    <t>01/09/2026 09:37</t>
  </si>
  <si>
    <t>31/08/2026 16:48</t>
  </si>
  <si>
    <t>01/09/2026 08:43</t>
  </si>
  <si>
    <t>31/08/2026 16:22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</si>
</sst>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HYPERLINK("https://gesdoc.uis.edu.co/share/page/folder-details?nodeRef=workspace://SpacesStore/c14912ab-73d1-461d-9735-24f19f2a8421","0234_2026011646_7837")</f>
      </c>
      <c r="C13" s="12" t="s">
        <v>24</v>
      </c>
      <c r="D13" s="13" t="s">
        <v>123</v>
      </c>
      <c r="E13" s="12" t="s">
        <v>165</v>
      </c>
      <c r="F13" s="12" t="s">
        <v>166</v>
      </c>
      <c r="G13" s="12" t="s">
        <v>177</v>
      </c>
      <c r="H13" s="12" t="s">
        <v>177</v>
      </c>
      <c r="I13" s="12" t="s">
        <v>33</v>
      </c>
      <c r="J13" s="12" t="s">
        <v>33</v>
      </c>
    </row>
    <row customHeight="1" ht="33" r="14">
      <c r="B14" s="12">
        <f>HYPERLINK("https://gesdoc.uis.edu.co/share/page/folder-details?nodeRef=workspace://SpacesStore/331cb8cd-004b-4159-ad59-d539a5be6dd0","0020_2026000301_7970")</f>
      </c>
      <c r="C14" s="12" t="s">
        <v>25</v>
      </c>
      <c r="D14" s="13" t="s">
        <v>124</v>
      </c>
      <c r="E14" s="12" t="s">
        <v>165</v>
      </c>
      <c r="F14" s="12" t="s">
        <v>167</v>
      </c>
      <c r="G14" s="12" t="s">
        <v>178</v>
      </c>
      <c r="H14" s="12" t="s">
        <v>178</v>
      </c>
      <c r="I14" s="12" t="s">
        <v>33</v>
      </c>
      <c r="J14" s="12" t="s">
        <v>33</v>
      </c>
    </row>
    <row customHeight="1" ht="33" r="15">
      <c r="B15" s="12">
        <f>HYPERLINK("https://gesdoc.uis.edu.co/share/page/folder-details?nodeRef=workspace://SpacesStore/d8fb5caf-442e-4c84-ad8e-a3b97463e12e","0020_2026000356_9350")</f>
      </c>
      <c r="C15" s="12" t="s">
        <v>26</v>
      </c>
      <c r="D15" s="13" t="s">
        <v>125</v>
      </c>
      <c r="E15" s="12" t="s">
        <v>165</v>
      </c>
      <c r="F15" s="12" t="s">
        <v>167</v>
      </c>
      <c r="G15" s="12" t="s">
        <v>179</v>
      </c>
      <c r="H15" s="12" t="s">
        <v>320</v>
      </c>
      <c r="I15" s="12" t="s">
        <v>33</v>
      </c>
      <c r="J15" s="12" t="s">
        <v>33</v>
      </c>
    </row>
    <row customHeight="1" ht="33" r="16">
      <c r="B16" s="12">
        <f>HYPERLINK("https://gesdoc.uis.edu.co/share/page/folder-details?nodeRef=workspace://SpacesStore/ab787c92-d106-4828-906e-5acff798eef4","0020_2026000351_9799")</f>
      </c>
      <c r="C16" s="12" t="s">
        <v>27</v>
      </c>
      <c r="D16" s="13" t="s">
        <v>125</v>
      </c>
      <c r="E16" s="12" t="s">
        <v>165</v>
      </c>
      <c r="F16" s="12" t="s">
        <v>167</v>
      </c>
      <c r="G16" s="12" t="s">
        <v>180</v>
      </c>
      <c r="H16" s="12" t="s">
        <v>321</v>
      </c>
      <c r="I16" s="12" t="s">
        <v>33</v>
      </c>
      <c r="J16" s="12" t="s">
        <v>33</v>
      </c>
    </row>
    <row customHeight="1" ht="33" r="17">
      <c r="B17" s="12">
        <f>HYPERLINK("https://gesdoc.uis.edu.co/share/page/folder-details?nodeRef=workspace://SpacesStore/bd9f9568-afd5-4fec-adab-67408325f57d","0018_2026001169_7003")</f>
      </c>
      <c r="C17" s="12" t="s">
        <v>28</v>
      </c>
      <c r="D17" s="13" t="s">
        <v>126</v>
      </c>
      <c r="E17" s="12" t="s">
        <v>165</v>
      </c>
      <c r="F17" s="12" t="s">
        <v>168</v>
      </c>
      <c r="G17" s="12" t="s">
        <v>181</v>
      </c>
      <c r="H17" s="12" t="s">
        <v>322</v>
      </c>
      <c r="I17" s="12" t="s">
        <v>33</v>
      </c>
      <c r="J17" s="12" t="s">
        <v>33</v>
      </c>
    </row>
    <row customHeight="1" ht="33" r="18">
      <c r="B18" s="12">
        <f>HYPERLINK("https://gesdoc.uis.edu.co/share/page/folder-details?nodeRef=workspace://SpacesStore/fd16f168-272e-4d97-ab7d-ae76f9837c2c","0270_2026000733_9701")</f>
      </c>
      <c r="C18" s="12" t="s">
        <v>29</v>
      </c>
      <c r="D18" s="13" t="s">
        <v>127</v>
      </c>
      <c r="E18" s="12" t="s">
        <v>165</v>
      </c>
      <c r="F18" s="12" t="s">
        <v>169</v>
      </c>
      <c r="G18" s="12" t="s">
        <v>182</v>
      </c>
      <c r="H18" s="12" t="s">
        <v>182</v>
      </c>
      <c r="I18" s="12" t="s">
        <v>33</v>
      </c>
      <c r="J18" s="12" t="s">
        <v>33</v>
      </c>
    </row>
    <row customHeight="1" ht="33" r="19">
      <c r="B19" s="12">
        <f>HYPERLINK("https://gesdoc.uis.edu.co/share/page/folder-details?nodeRef=workspace://SpacesStore/f1e35e6c-9d9e-4dce-b91a-fdc20fe18b9c","0020_2026000272_3112")</f>
      </c>
      <c r="C19" s="12" t="s">
        <v>30</v>
      </c>
      <c r="D19" s="13" t="s">
        <v>128</v>
      </c>
      <c r="E19" s="12" t="s">
        <v>165</v>
      </c>
      <c r="F19" s="12" t="s">
        <v>167</v>
      </c>
      <c r="G19" s="12" t="s">
        <v>183</v>
      </c>
      <c r="H19" s="12" t="s">
        <v>323</v>
      </c>
      <c r="I19" s="12" t="s">
        <v>33</v>
      </c>
      <c r="J19" s="12" t="s">
        <v>33</v>
      </c>
    </row>
    <row customHeight="1" ht="33" r="20">
      <c r="B20" s="12">
        <f>HYPERLINK("https://gesdoc.uis.edu.co/share/page/folder-details?nodeRef=workspace://SpacesStore/029c9e78-e675-4456-8159-520e2dd18ed2","0374_2026000030_4516")</f>
      </c>
      <c r="C20" s="12" t="s">
        <v>31</v>
      </c>
      <c r="D20" s="13" t="s">
        <v>128</v>
      </c>
      <c r="E20" s="12" t="s">
        <v>165</v>
      </c>
      <c r="F20" s="12" t="s">
        <v>170</v>
      </c>
      <c r="G20" s="12" t="s">
        <v>184</v>
      </c>
      <c r="H20" s="12" t="s">
        <v>184</v>
      </c>
      <c r="I20" s="12" t="s">
        <v>33</v>
      </c>
      <c r="J20" s="12" t="s">
        <v>33</v>
      </c>
    </row>
    <row customHeight="1" ht="33" r="21">
      <c r="B21" s="12">
        <f>HYPERLINK("https://gesdoc.uis.edu.co/share/page/folder-details?nodeRef=workspace://SpacesStore/baf02f0b-a817-4ec3-970d-6ae85d6bb23b","0374_2026000031_4516")</f>
      </c>
      <c r="C21" s="12" t="s">
        <v>32</v>
      </c>
      <c r="D21" s="13" t="s">
        <v>128</v>
      </c>
      <c r="E21" s="12" t="s">
        <v>165</v>
      </c>
      <c r="F21" s="12" t="s">
        <v>170</v>
      </c>
      <c r="G21" s="12" t="s">
        <v>185</v>
      </c>
      <c r="H21" s="12" t="s">
        <v>324</v>
      </c>
      <c r="I21" s="12" t="s">
        <v>33</v>
      </c>
      <c r="J21" s="12" t="s">
        <v>33</v>
      </c>
    </row>
    <row customHeight="1" ht="33" r="22">
      <c r="B22" s="12">
        <f>HYPERLINK("https://gesdoc.uis.edu.co/share/page/folder-details?nodeRef=workspace://SpacesStore/9e146abe-ab70-4e1f-a09e-523a507ae04e","2025000159_9702")</f>
      </c>
      <c r="C22" s="12" t="s">
        <v>33</v>
      </c>
      <c r="D22" s="13" t="s">
        <v>127</v>
      </c>
      <c r="E22" s="12" t="s">
        <v>165</v>
      </c>
      <c r="F22" s="12" t="s">
        <v>169</v>
      </c>
      <c r="G22" s="12" t="s">
        <v>186</v>
      </c>
      <c r="H22" s="12" t="s">
        <v>186</v>
      </c>
      <c r="I22" s="12" t="s">
        <v>33</v>
      </c>
      <c r="J22" s="12" t="s">
        <v>33</v>
      </c>
    </row>
    <row customHeight="1" ht="33" r="23">
      <c r="B23" s="12">
        <f>HYPERLINK("https://gesdoc.uis.edu.co/share/page/folder-details?nodeRef=workspace://SpacesStore/fb099b61-8a45-4997-bc54-32012ea7d5b3","2025000178_9701")</f>
      </c>
      <c r="C23" s="12" t="s">
        <v>33</v>
      </c>
      <c r="D23" s="13" t="s">
        <v>127</v>
      </c>
      <c r="E23" s="12" t="s">
        <v>165</v>
      </c>
      <c r="F23" s="12" t="s">
        <v>169</v>
      </c>
      <c r="G23" s="12" t="s">
        <v>187</v>
      </c>
      <c r="H23" s="12" t="s">
        <v>187</v>
      </c>
      <c r="I23" s="12" t="s">
        <v>33</v>
      </c>
      <c r="J23" s="12" t="s">
        <v>33</v>
      </c>
    </row>
    <row customHeight="1" ht="33" r="24">
      <c r="B24" s="12">
        <f>HYPERLINK("https://gesdoc.uis.edu.co/share/page/folder-details?nodeRef=workspace://SpacesStore/2cbbbf7c-0825-438c-b1c9-56497a18fa9b","0018_2026002493_7025")</f>
      </c>
      <c r="C24" s="12" t="s">
        <v>34</v>
      </c>
      <c r="D24" s="13" t="s">
        <v>129</v>
      </c>
      <c r="E24" s="12" t="s">
        <v>165</v>
      </c>
      <c r="F24" s="12" t="s">
        <v>168</v>
      </c>
      <c r="G24" s="12" t="s">
        <v>188</v>
      </c>
      <c r="H24" s="12" t="s">
        <v>325</v>
      </c>
      <c r="I24" s="12" t="s">
        <v>33</v>
      </c>
      <c r="J24" s="12" t="s">
        <v>33</v>
      </c>
    </row>
    <row customHeight="1" ht="33" r="25">
      <c r="B25" s="12">
        <f>HYPERLINK("https://gesdoc.uis.edu.co/share/page/folder-details?nodeRef=workspace://SpacesStore/8a8da9fa-78dd-4340-b9bd-d618988c2e97","0020_2026000368_6290")</f>
      </c>
      <c r="C25" s="12" t="s">
        <v>35</v>
      </c>
      <c r="D25" s="13" t="s">
        <v>130</v>
      </c>
      <c r="E25" s="12" t="s">
        <v>165</v>
      </c>
      <c r="F25" s="12" t="s">
        <v>167</v>
      </c>
      <c r="G25" s="12" t="s">
        <v>189</v>
      </c>
      <c r="H25" s="12" t="s">
        <v>189</v>
      </c>
      <c r="I25" s="12" t="s">
        <v>33</v>
      </c>
      <c r="J25" s="12" t="s">
        <v>33</v>
      </c>
    </row>
    <row customHeight="1" ht="33" r="26">
      <c r="B26" s="12">
        <f>HYPERLINK("https://gesdoc.uis.edu.co/share/page/folder-details?nodeRef=workspace://SpacesStore/8861d0f2-ad2c-40b5-82f4-1a7d5cb87d41","0018_2026002403_9285")</f>
      </c>
      <c r="C26" s="12" t="s">
        <v>36</v>
      </c>
      <c r="D26" s="13" t="s">
        <v>131</v>
      </c>
      <c r="E26" s="12" t="s">
        <v>165</v>
      </c>
      <c r="F26" s="12" t="s">
        <v>168</v>
      </c>
      <c r="G26" s="12" t="s">
        <v>190</v>
      </c>
      <c r="H26" s="12" t="s">
        <v>190</v>
      </c>
      <c r="I26" s="12" t="s">
        <v>33</v>
      </c>
      <c r="J26" s="12" t="s">
        <v>33</v>
      </c>
    </row>
    <row customHeight="1" ht="33" r="27">
      <c r="B27" s="12">
        <f>HYPERLINK("https://gesdoc.uis.edu.co/share/page/folder-details?nodeRef=workspace://SpacesStore/d2805c66-1cc3-4774-8d49-a95c6b72cfe4","0374_2026000032_7061")</f>
      </c>
      <c r="C27" s="12" t="s">
        <v>37</v>
      </c>
      <c r="D27" s="13" t="s">
        <v>128</v>
      </c>
      <c r="E27" s="12" t="s">
        <v>165</v>
      </c>
      <c r="F27" s="12" t="s">
        <v>170</v>
      </c>
      <c r="G27" s="12" t="s">
        <v>191</v>
      </c>
      <c r="H27" s="12" t="s">
        <v>326</v>
      </c>
      <c r="I27" s="12" t="s">
        <v>33</v>
      </c>
      <c r="J27" s="12" t="s">
        <v>33</v>
      </c>
    </row>
    <row customHeight="1" ht="33" r="28">
      <c r="B28" s="12">
        <f>HYPERLINK("https://gesdoc.uis.edu.co/share/page/folder-details?nodeRef=workspace://SpacesStore/01a9da04-ea68-4b6f-b4d5-ac38a187ce6d","0018_2026002455_7865")</f>
      </c>
      <c r="C28" s="12" t="s">
        <v>38</v>
      </c>
      <c r="D28" s="13" t="s">
        <v>132</v>
      </c>
      <c r="E28" s="12" t="s">
        <v>165</v>
      </c>
      <c r="F28" s="12" t="s">
        <v>168</v>
      </c>
      <c r="G28" s="12" t="s">
        <v>192</v>
      </c>
      <c r="H28" s="12" t="s">
        <v>192</v>
      </c>
      <c r="I28" s="12" t="s">
        <v>33</v>
      </c>
      <c r="J28" s="12" t="s">
        <v>33</v>
      </c>
    </row>
    <row customHeight="1" ht="33" r="29">
      <c r="B29" s="12">
        <f>HYPERLINK("https://gesdoc.uis.edu.co/share/page/folder-details?nodeRef=workspace://SpacesStore/1b39e062-baee-4c0f-ad5b-e32fff1ae184","0018_2026002489_7916")</f>
      </c>
      <c r="C29" s="12" t="s">
        <v>39</v>
      </c>
      <c r="D29" s="13" t="s">
        <v>133</v>
      </c>
      <c r="E29" s="12" t="s">
        <v>165</v>
      </c>
      <c r="F29" s="12" t="s">
        <v>168</v>
      </c>
      <c r="G29" s="12" t="s">
        <v>193</v>
      </c>
      <c r="H29" s="12" t="s">
        <v>327</v>
      </c>
      <c r="I29" s="12" t="s">
        <v>33</v>
      </c>
      <c r="J29" s="12" t="s">
        <v>33</v>
      </c>
    </row>
    <row customHeight="1" ht="33" r="30">
      <c r="B30" s="12">
        <f>HYPERLINK("https://gesdoc.uis.edu.co/share/page/folder-details?nodeRef=workspace://SpacesStore/b6dee279-d165-4b8c-a47a-19cd696ac4bc","2026011696_2250")</f>
      </c>
      <c r="C30" s="12" t="s">
        <v>33</v>
      </c>
      <c r="D30" s="13" t="s">
        <v>134</v>
      </c>
      <c r="E30" s="12" t="s">
        <v>165</v>
      </c>
      <c r="F30" s="12" t="s">
        <v>166</v>
      </c>
      <c r="G30" s="12" t="s">
        <v>194</v>
      </c>
      <c r="H30" s="12" t="s">
        <v>194</v>
      </c>
      <c r="I30" s="12" t="s">
        <v>33</v>
      </c>
      <c r="J30" s="12" t="s">
        <v>33</v>
      </c>
    </row>
    <row customHeight="1" ht="33" r="31">
      <c r="B31" s="12">
        <f>HYPERLINK("https://gesdoc.uis.edu.co/share/page/folder-details?nodeRef=workspace://SpacesStore/2d405af6-5dbd-4300-8f5b-2b709bebc96d","2026011698_2250")</f>
      </c>
      <c r="C31" s="12" t="s">
        <v>33</v>
      </c>
      <c r="D31" s="13" t="s">
        <v>134</v>
      </c>
      <c r="E31" s="12" t="s">
        <v>165</v>
      </c>
      <c r="F31" s="12" t="s">
        <v>166</v>
      </c>
      <c r="G31" s="12" t="s">
        <v>194</v>
      </c>
      <c r="H31" s="12" t="s">
        <v>194</v>
      </c>
      <c r="I31" s="12" t="s">
        <v>33</v>
      </c>
      <c r="J31" s="12" t="s">
        <v>33</v>
      </c>
    </row>
    <row customHeight="1" ht="33" r="32">
      <c r="B32" s="12">
        <f>HYPERLINK("https://gesdoc.uis.edu.co/share/page/folder-details?nodeRef=workspace://SpacesStore/6e55437b-8a0a-4866-a960-50d5f58f1cdf","0018_2026002496_7810")</f>
      </c>
      <c r="C32" s="12" t="s">
        <v>40</v>
      </c>
      <c r="D32" s="13" t="s">
        <v>135</v>
      </c>
      <c r="E32" s="12" t="s">
        <v>165</v>
      </c>
      <c r="F32" s="12" t="s">
        <v>168</v>
      </c>
      <c r="G32" s="12" t="s">
        <v>195</v>
      </c>
      <c r="H32" s="12" t="s">
        <v>328</v>
      </c>
      <c r="I32" s="12" t="s">
        <v>33</v>
      </c>
      <c r="J32" s="12" t="s">
        <v>33</v>
      </c>
    </row>
    <row customHeight="1" ht="33" r="33">
      <c r="B33" s="12">
        <f>HYPERLINK("https://gesdoc.uis.edu.co/share/page/folder-details?nodeRef=workspace://SpacesStore/22fcedd0-0b2b-420c-be86-471e58c452d3","0270_2026000265_3190")</f>
      </c>
      <c r="C33" s="12" t="s">
        <v>41</v>
      </c>
      <c r="D33" s="13" t="s">
        <v>136</v>
      </c>
      <c r="E33" s="12" t="s">
        <v>165</v>
      </c>
      <c r="F33" s="12" t="s">
        <v>167</v>
      </c>
      <c r="G33" s="12" t="s">
        <v>196</v>
      </c>
      <c r="H33" s="12" t="s">
        <v>329</v>
      </c>
      <c r="I33" s="12" t="s">
        <v>33</v>
      </c>
      <c r="J33" s="12" t="s">
        <v>33</v>
      </c>
    </row>
    <row customHeight="1" ht="33" r="34">
      <c r="B34" s="12">
        <f>HYPERLINK("https://gesdoc.uis.edu.co/share/page/folder-details?nodeRef=workspace://SpacesStore/797fbbe0-eac7-466b-b323-cd9bf6cad5c3","0020_2026000307_7970")</f>
      </c>
      <c r="C34" s="12" t="s">
        <v>42</v>
      </c>
      <c r="D34" s="13" t="s">
        <v>124</v>
      </c>
      <c r="E34" s="12" t="s">
        <v>165</v>
      </c>
      <c r="F34" s="12" t="s">
        <v>167</v>
      </c>
      <c r="G34" s="12" t="s">
        <v>197</v>
      </c>
      <c r="H34" s="12" t="s">
        <v>197</v>
      </c>
      <c r="I34" s="12" t="s">
        <v>33</v>
      </c>
      <c r="J34" s="12" t="s">
        <v>33</v>
      </c>
    </row>
    <row customHeight="1" ht="33" r="35">
      <c r="B35" s="12">
        <f>HYPERLINK("https://gesdoc.uis.edu.co/share/page/folder-details?nodeRef=workspace://SpacesStore/614e75da-3639-47ed-9b80-5ee282289fda","0018_2026002335_7009")</f>
      </c>
      <c r="C35" s="12" t="s">
        <v>43</v>
      </c>
      <c r="D35" s="13" t="s">
        <v>137</v>
      </c>
      <c r="E35" s="12" t="s">
        <v>165</v>
      </c>
      <c r="F35" s="12" t="s">
        <v>168</v>
      </c>
      <c r="G35" s="12" t="s">
        <v>198</v>
      </c>
      <c r="H35" s="12" t="s">
        <v>198</v>
      </c>
      <c r="I35" s="12" t="s">
        <v>33</v>
      </c>
      <c r="J35" s="12" t="s">
        <v>33</v>
      </c>
    </row>
    <row customHeight="1" ht="33" r="36">
      <c r="B36" s="12">
        <f>HYPERLINK("https://gesdoc.uis.edu.co/share/page/folder-details?nodeRef=workspace://SpacesStore/99bc8497-a98f-47c6-a88a-15b9faef47f7","0018_2026002467 _7916")</f>
      </c>
      <c r="C36" s="12" t="s">
        <v>44</v>
      </c>
      <c r="D36" s="13" t="s">
        <v>133</v>
      </c>
      <c r="E36" s="12" t="s">
        <v>165</v>
      </c>
      <c r="F36" s="12" t="s">
        <v>168</v>
      </c>
      <c r="G36" s="12" t="s">
        <v>199</v>
      </c>
      <c r="H36" s="12" t="s">
        <v>199</v>
      </c>
      <c r="I36" s="12" t="s">
        <v>33</v>
      </c>
      <c r="J36" s="12" t="s">
        <v>33</v>
      </c>
    </row>
    <row customHeight="1" ht="33" r="37">
      <c r="B37" s="12">
        <f>HYPERLINK("https://gesdoc.uis.edu.co/share/page/folder-details?nodeRef=workspace://SpacesStore/21e2ab7c-3106-49c4-bcce-0cdd43583576","0018_2026002407_9285")</f>
      </c>
      <c r="C37" s="12" t="s">
        <v>45</v>
      </c>
      <c r="D37" s="13" t="s">
        <v>131</v>
      </c>
      <c r="E37" s="12" t="s">
        <v>165</v>
      </c>
      <c r="F37" s="12" t="s">
        <v>168</v>
      </c>
      <c r="G37" s="12" t="s">
        <v>200</v>
      </c>
      <c r="H37" s="12" t="s">
        <v>200</v>
      </c>
      <c r="I37" s="12" t="s">
        <v>33</v>
      </c>
      <c r="J37" s="12" t="s">
        <v>33</v>
      </c>
    </row>
    <row customHeight="1" ht="33" r="38">
      <c r="B38" s="12">
        <f>HYPERLINK("https://gesdoc.uis.edu.co/share/page/folder-details?nodeRef=workspace://SpacesStore/953819b3-e981-4e42-b991-e53b04a92887","0018_2026002485_9174")</f>
      </c>
      <c r="C38" s="12" t="s">
        <v>46</v>
      </c>
      <c r="D38" s="13" t="s">
        <v>138</v>
      </c>
      <c r="E38" s="12" t="s">
        <v>165</v>
      </c>
      <c r="F38" s="12" t="s">
        <v>168</v>
      </c>
      <c r="G38" s="12" t="s">
        <v>201</v>
      </c>
      <c r="H38" s="12" t="s">
        <v>201</v>
      </c>
      <c r="I38" s="12" t="s">
        <v>33</v>
      </c>
      <c r="J38" s="12" t="s">
        <v>33</v>
      </c>
    </row>
    <row customHeight="1" ht="33" r="39">
      <c r="B39" s="12">
        <f>HYPERLINK("https://gesdoc.uis.edu.co/share/page/folder-details?nodeRef=workspace://SpacesStore/27ec5084-247b-4248-b835-6998facdb073","0018_2026002408_7021")</f>
      </c>
      <c r="C39" s="12" t="s">
        <v>47</v>
      </c>
      <c r="D39" s="13" t="s">
        <v>138</v>
      </c>
      <c r="E39" s="12" t="s">
        <v>165</v>
      </c>
      <c r="F39" s="12" t="s">
        <v>168</v>
      </c>
      <c r="G39" s="12" t="s">
        <v>202</v>
      </c>
      <c r="H39" s="12" t="s">
        <v>330</v>
      </c>
      <c r="I39" s="12" t="s">
        <v>33</v>
      </c>
      <c r="J39" s="12" t="s">
        <v>33</v>
      </c>
    </row>
    <row customHeight="1" ht="33" r="40">
      <c r="B40" s="12">
        <f>HYPERLINK("https://gesdoc.uis.edu.co/share/page/folder-details?nodeRef=workspace://SpacesStore/16bb9e12-db59-4591-9acb-7947e7d69e8a","20_2026000359")</f>
      </c>
      <c r="C40" s="12" t="s">
        <v>33</v>
      </c>
      <c r="D40" s="13" t="s">
        <v>139</v>
      </c>
      <c r="E40" s="12" t="s">
        <v>165</v>
      </c>
      <c r="F40" s="12" t="s">
        <v>167</v>
      </c>
      <c r="G40" s="12" t="s">
        <v>203</v>
      </c>
      <c r="H40" s="12" t="s">
        <v>331</v>
      </c>
      <c r="I40" s="12" t="s">
        <v>33</v>
      </c>
      <c r="J40" s="12" t="s">
        <v>33</v>
      </c>
    </row>
    <row customHeight="1" ht="33" r="41">
      <c r="B41" s="12">
        <f>HYPERLINK("https://gesdoc.uis.edu.co/share/page/folder-details?nodeRef=workspace://SpacesStore/1dbcee64-50f1-4f8d-9acd-20bfe1ba63f7","0018_2026002458_9285")</f>
      </c>
      <c r="C41" s="12" t="s">
        <v>48</v>
      </c>
      <c r="D41" s="13" t="s">
        <v>131</v>
      </c>
      <c r="E41" s="12" t="s">
        <v>165</v>
      </c>
      <c r="F41" s="12" t="s">
        <v>168</v>
      </c>
      <c r="G41" s="12" t="s">
        <v>204</v>
      </c>
      <c r="H41" s="12" t="s">
        <v>204</v>
      </c>
      <c r="I41" s="12" t="s">
        <v>33</v>
      </c>
      <c r="J41" s="12" t="s">
        <v>33</v>
      </c>
    </row>
    <row customHeight="1" ht="33" r="42">
      <c r="B42" s="12">
        <f>HYPERLINK("https://gesdoc.uis.edu.co/share/page/folder-details?nodeRef=workspace://SpacesStore/11ba2ad8-616a-434d-83c1-3305fbc4dad4","0018_2026002468_9285")</f>
      </c>
      <c r="C42" s="12" t="s">
        <v>49</v>
      </c>
      <c r="D42" s="13" t="s">
        <v>131</v>
      </c>
      <c r="E42" s="12" t="s">
        <v>165</v>
      </c>
      <c r="F42" s="12" t="s">
        <v>168</v>
      </c>
      <c r="G42" s="12" t="s">
        <v>204</v>
      </c>
      <c r="H42" s="12" t="s">
        <v>204</v>
      </c>
      <c r="I42" s="12" t="s">
        <v>33</v>
      </c>
      <c r="J42" s="12" t="s">
        <v>33</v>
      </c>
    </row>
    <row customHeight="1" ht="33" r="43">
      <c r="B43" s="12">
        <f>HYPERLINK("https://gesdoc.uis.edu.co/share/page/folder-details?nodeRef=workspace://SpacesStore/a821aaff-1f35-4a49-a8e3-2f9938cfd375","0018_2026002484_9285")</f>
      </c>
      <c r="C43" s="12" t="s">
        <v>50</v>
      </c>
      <c r="D43" s="13" t="s">
        <v>131</v>
      </c>
      <c r="E43" s="12" t="s">
        <v>165</v>
      </c>
      <c r="F43" s="12" t="s">
        <v>168</v>
      </c>
      <c r="G43" s="12" t="s">
        <v>205</v>
      </c>
      <c r="H43" s="12" t="s">
        <v>205</v>
      </c>
      <c r="I43" s="12" t="s">
        <v>33</v>
      </c>
      <c r="J43" s="12" t="s">
        <v>33</v>
      </c>
    </row>
    <row customHeight="1" ht="33" r="44">
      <c r="B44" s="12">
        <f>HYPERLINK("https://gesdoc.uis.edu.co/share/page/folder-details?nodeRef=workspace://SpacesStore/e645d062-c8e8-4b5a-a68c-01e94bb6f86e","0018_20260810_6863")</f>
      </c>
      <c r="C44" s="12" t="s">
        <v>51</v>
      </c>
      <c r="D44" s="13" t="s">
        <v>140</v>
      </c>
      <c r="E44" s="12" t="s">
        <v>165</v>
      </c>
      <c r="F44" s="12" t="s">
        <v>168</v>
      </c>
      <c r="G44" s="12" t="s">
        <v>205</v>
      </c>
      <c r="H44" s="12" t="s">
        <v>205</v>
      </c>
      <c r="I44" s="12" t="s">
        <v>33</v>
      </c>
      <c r="J44" s="12" t="s">
        <v>33</v>
      </c>
    </row>
    <row customHeight="1" ht="33" r="45">
      <c r="B45" s="12">
        <f>HYPERLINK("https://gesdoc.uis.edu.co/share/page/folder-details?nodeRef=workspace://SpacesStore/6f576bb7-5630-4534-93cd-69c9ca97746d","0018_2026002477_9285")</f>
      </c>
      <c r="C45" s="12" t="s">
        <v>52</v>
      </c>
      <c r="D45" s="13" t="s">
        <v>131</v>
      </c>
      <c r="E45" s="12" t="s">
        <v>165</v>
      </c>
      <c r="F45" s="12" t="s">
        <v>168</v>
      </c>
      <c r="G45" s="12" t="s">
        <v>204</v>
      </c>
      <c r="H45" s="12" t="s">
        <v>204</v>
      </c>
      <c r="I45" s="12" t="s">
        <v>33</v>
      </c>
      <c r="J45" s="12" t="s">
        <v>33</v>
      </c>
    </row>
    <row customHeight="1" ht="33" r="46">
      <c r="B46" s="12">
        <f>HYPERLINK("https://gesdoc.uis.edu.co/share/page/folder-details?nodeRef=workspace://SpacesStore/e888fa37-316f-4cb6-b1d1-26e3c8a75a2c","0018_2026002483_9285")</f>
      </c>
      <c r="C46" s="12" t="s">
        <v>53</v>
      </c>
      <c r="D46" s="13" t="s">
        <v>131</v>
      </c>
      <c r="E46" s="12" t="s">
        <v>165</v>
      </c>
      <c r="F46" s="12" t="s">
        <v>168</v>
      </c>
      <c r="G46" s="12" t="s">
        <v>204</v>
      </c>
      <c r="H46" s="12" t="s">
        <v>332</v>
      </c>
      <c r="I46" s="12" t="s">
        <v>33</v>
      </c>
      <c r="J46" s="12" t="s">
        <v>33</v>
      </c>
    </row>
    <row customHeight="1" ht="33" r="47">
      <c r="B47" s="12">
        <f>HYPERLINK("https://gesdoc.uis.edu.co/share/page/folder-details?nodeRef=workspace://SpacesStore/ad185bde-808e-434e-9967-80c67ea77734","0018_2026002448")</f>
      </c>
      <c r="C47" s="12" t="s">
        <v>54</v>
      </c>
      <c r="D47" s="13" t="s">
        <v>141</v>
      </c>
      <c r="E47" s="12" t="s">
        <v>165</v>
      </c>
      <c r="F47" s="12" t="s">
        <v>168</v>
      </c>
      <c r="G47" s="12" t="s">
        <v>206</v>
      </c>
      <c r="H47" s="12" t="s">
        <v>206</v>
      </c>
      <c r="I47" s="12" t="s">
        <v>33</v>
      </c>
      <c r="J47" s="12" t="s">
        <v>33</v>
      </c>
    </row>
    <row customHeight="1" ht="33" r="48">
      <c r="B48" s="12">
        <f>HYPERLINK("https://gesdoc.uis.edu.co/share/page/folder-details?nodeRef=workspace://SpacesStore/a60c915f-a405-49b4-a3f6-ac727feaa965","2026011846_2250")</f>
      </c>
      <c r="C48" s="12" t="s">
        <v>33</v>
      </c>
      <c r="D48" s="13" t="s">
        <v>134</v>
      </c>
      <c r="E48" s="12" t="s">
        <v>165</v>
      </c>
      <c r="F48" s="12" t="s">
        <v>166</v>
      </c>
      <c r="G48" s="12" t="s">
        <v>207</v>
      </c>
      <c r="H48" s="12" t="s">
        <v>207</v>
      </c>
      <c r="I48" s="12" t="s">
        <v>33</v>
      </c>
      <c r="J48" s="12" t="s">
        <v>33</v>
      </c>
    </row>
    <row customHeight="1" ht="33" r="49">
      <c r="B49" s="12">
        <f>HYPERLINK("https://gesdoc.uis.edu.co/share/page/folder-details?nodeRef=workspace://SpacesStore/3738a41a-360b-4999-bc98-f24b8f1d4730","2026011679_2250")</f>
      </c>
      <c r="C49" s="12" t="s">
        <v>33</v>
      </c>
      <c r="D49" s="13" t="s">
        <v>134</v>
      </c>
      <c r="E49" s="12" t="s">
        <v>165</v>
      </c>
      <c r="F49" s="12" t="s">
        <v>166</v>
      </c>
      <c r="G49" s="12" t="s">
        <v>194</v>
      </c>
      <c r="H49" s="12" t="s">
        <v>333</v>
      </c>
      <c r="I49" s="12" t="s">
        <v>33</v>
      </c>
      <c r="J49" s="12" t="s">
        <v>33</v>
      </c>
    </row>
    <row customHeight="1" ht="33" r="50">
      <c r="B50" s="12">
        <f>HYPERLINK("https://gesdoc.uis.edu.co/share/page/folder-details?nodeRef=workspace://SpacesStore/ec79773e-6f15-470b-8c01-96e873896b46","0270_2026000746_4516")</f>
      </c>
      <c r="C50" s="12" t="s">
        <v>55</v>
      </c>
      <c r="D50" s="13" t="s">
        <v>142</v>
      </c>
      <c r="E50" s="12" t="s">
        <v>165</v>
      </c>
      <c r="F50" s="12" t="s">
        <v>168</v>
      </c>
      <c r="G50" s="12" t="s">
        <v>208</v>
      </c>
      <c r="H50" s="12" t="s">
        <v>208</v>
      </c>
      <c r="I50" s="12" t="s">
        <v>33</v>
      </c>
      <c r="J50" s="12" t="s">
        <v>33</v>
      </c>
    </row>
    <row customHeight="1" ht="33" r="51">
      <c r="B51" s="12">
        <f>HYPERLINK("https://gesdoc.uis.edu.co/share/page/folder-details?nodeRef=workspace://SpacesStore/33d9007b-54d3-45c0-9c6c-a9c42a5f642f","2025000481_9702")</f>
      </c>
      <c r="C51" s="12" t="s">
        <v>33</v>
      </c>
      <c r="D51" s="13" t="s">
        <v>127</v>
      </c>
      <c r="E51" s="12" t="s">
        <v>165</v>
      </c>
      <c r="F51" s="12" t="s">
        <v>169</v>
      </c>
      <c r="G51" s="12" t="s">
        <v>209</v>
      </c>
      <c r="H51" s="12" t="s">
        <v>209</v>
      </c>
      <c r="I51" s="12" t="s">
        <v>33</v>
      </c>
      <c r="J51" s="12" t="s">
        <v>33</v>
      </c>
    </row>
    <row customHeight="1" ht="33" r="52">
      <c r="B52" s="12">
        <f>HYPERLINK("https://gesdoc.uis.edu.co/share/page/folder-details?nodeRef=workspace://SpacesStore/59161524-4aea-4aa9-9709-9776f4774cdd","2025000303_9701")</f>
      </c>
      <c r="C52" s="12" t="s">
        <v>33</v>
      </c>
      <c r="D52" s="13" t="s">
        <v>127</v>
      </c>
      <c r="E52" s="12" t="s">
        <v>165</v>
      </c>
      <c r="F52" s="12" t="s">
        <v>169</v>
      </c>
      <c r="G52" s="12" t="s">
        <v>210</v>
      </c>
      <c r="H52" s="12" t="s">
        <v>210</v>
      </c>
      <c r="I52" s="12" t="s">
        <v>33</v>
      </c>
      <c r="J52" s="12" t="s">
        <v>33</v>
      </c>
    </row>
    <row customHeight="1" ht="33" r="53">
      <c r="B53" s="12">
        <f>HYPERLINK("https://gesdoc.uis.edu.co/share/page/folder-details?nodeRef=workspace://SpacesStore/83c7ab36-89c7-4caf-9e12-ee73ccc3c40c","2026011845_2250")</f>
      </c>
      <c r="C53" s="12" t="s">
        <v>33</v>
      </c>
      <c r="D53" s="13" t="s">
        <v>134</v>
      </c>
      <c r="E53" s="12" t="s">
        <v>165</v>
      </c>
      <c r="F53" s="12" t="s">
        <v>166</v>
      </c>
      <c r="G53" s="12" t="s">
        <v>211</v>
      </c>
      <c r="H53" s="12" t="s">
        <v>211</v>
      </c>
      <c r="I53" s="12" t="s">
        <v>33</v>
      </c>
      <c r="J53" s="12" t="s">
        <v>33</v>
      </c>
    </row>
    <row customHeight="1" ht="33" r="54">
      <c r="B54" s="12">
        <f>HYPERLINK("https://gesdoc.uis.edu.co/share/page/folder-details?nodeRef=workspace://SpacesStore/47eb6650-f640-4479-96a9-041626bb1060","0018_2026002398_9198")</f>
      </c>
      <c r="C54" s="12" t="s">
        <v>56</v>
      </c>
      <c r="D54" s="13" t="s">
        <v>143</v>
      </c>
      <c r="E54" s="12" t="s">
        <v>165</v>
      </c>
      <c r="F54" s="12" t="s">
        <v>168</v>
      </c>
      <c r="G54" s="12" t="s">
        <v>212</v>
      </c>
      <c r="H54" s="12" t="s">
        <v>212</v>
      </c>
      <c r="I54" s="12" t="s">
        <v>33</v>
      </c>
      <c r="J54" s="12" t="s">
        <v>33</v>
      </c>
    </row>
    <row customHeight="1" ht="33" r="55">
      <c r="B55" s="12">
        <f>HYPERLINK("https://gesdoc.uis.edu.co/share/page/folder-details?nodeRef=workspace://SpacesStore/1f4fa869-daf3-4012-990d-06b3082a48a7","0018_2026002343_1130")</f>
      </c>
      <c r="C55" s="12" t="s">
        <v>57</v>
      </c>
      <c r="D55" s="13" t="s">
        <v>144</v>
      </c>
      <c r="E55" s="12" t="s">
        <v>165</v>
      </c>
      <c r="F55" s="12" t="s">
        <v>168</v>
      </c>
      <c r="G55" s="12" t="s">
        <v>213</v>
      </c>
      <c r="H55" s="12" t="s">
        <v>334</v>
      </c>
      <c r="I55" s="12" t="s">
        <v>33</v>
      </c>
      <c r="J55" s="12" t="s">
        <v>33</v>
      </c>
    </row>
    <row customHeight="1" ht="33" r="56">
      <c r="B56" s="12">
        <f>HYPERLINK("https://gesdoc.uis.edu.co/share/page/folder-details?nodeRef=workspace://SpacesStore/0e58ae85-b143-4792-8254-0fe43283d472","2025000479_9702")</f>
      </c>
      <c r="C56" s="12" t="s">
        <v>33</v>
      </c>
      <c r="D56" s="13" t="s">
        <v>127</v>
      </c>
      <c r="E56" s="12" t="s">
        <v>165</v>
      </c>
      <c r="F56" s="12" t="s">
        <v>169</v>
      </c>
      <c r="G56" s="12" t="s">
        <v>214</v>
      </c>
      <c r="H56" s="12" t="s">
        <v>214</v>
      </c>
      <c r="I56" s="12" t="s">
        <v>33</v>
      </c>
      <c r="J56" s="12" t="s">
        <v>33</v>
      </c>
    </row>
    <row customHeight="1" ht="33" r="57">
      <c r="B57" s="12">
        <f>HYPERLINK("https://gesdoc.uis.edu.co/share/page/folder-details?nodeRef=workspace://SpacesStore/124804b1-71fb-4f89-976d-4b7ada0e1c22","2025000474_9701")</f>
      </c>
      <c r="C57" s="12" t="s">
        <v>33</v>
      </c>
      <c r="D57" s="13" t="s">
        <v>127</v>
      </c>
      <c r="E57" s="12" t="s">
        <v>165</v>
      </c>
      <c r="F57" s="12" t="s">
        <v>169</v>
      </c>
      <c r="G57" s="12" t="s">
        <v>215</v>
      </c>
      <c r="H57" s="12" t="s">
        <v>215</v>
      </c>
      <c r="I57" s="12" t="s">
        <v>33</v>
      </c>
      <c r="J57" s="12" t="s">
        <v>33</v>
      </c>
    </row>
    <row customHeight="1" ht="33" r="58">
      <c r="B58" s="12">
        <f>HYPERLINK("https://gesdoc.uis.edu.co/share/page/folder-details?nodeRef=workspace://SpacesStore/92289353-c25d-4be6-9cc0-5a661fbce864","0018_2026002421_3140")</f>
      </c>
      <c r="C58" s="12" t="s">
        <v>58</v>
      </c>
      <c r="D58" s="13" t="s">
        <v>145</v>
      </c>
      <c r="E58" s="12" t="s">
        <v>165</v>
      </c>
      <c r="F58" s="12" t="s">
        <v>168</v>
      </c>
      <c r="G58" s="12" t="s">
        <v>216</v>
      </c>
      <c r="H58" s="12" t="s">
        <v>335</v>
      </c>
      <c r="I58" s="12" t="s">
        <v>33</v>
      </c>
      <c r="J58" s="12" t="s">
        <v>33</v>
      </c>
    </row>
    <row customHeight="1" ht="33" r="59">
      <c r="B59" s="12">
        <f>HYPERLINK("https://gesdoc.uis.edu.co/share/page/folder-details?nodeRef=workspace://SpacesStore/6e18029f-f70a-4551-a8e2-2714360d150e","0298_2026000267_3160")</f>
      </c>
      <c r="C59" s="12" t="s">
        <v>59</v>
      </c>
      <c r="D59" s="13" t="s">
        <v>146</v>
      </c>
      <c r="E59" s="12" t="s">
        <v>165</v>
      </c>
      <c r="F59" s="12" t="s">
        <v>171</v>
      </c>
      <c r="G59" s="12" t="s">
        <v>217</v>
      </c>
      <c r="H59" s="12" t="s">
        <v>336</v>
      </c>
      <c r="I59" s="12" t="s">
        <v>33</v>
      </c>
      <c r="J59" s="12" t="s">
        <v>33</v>
      </c>
    </row>
    <row customHeight="1" ht="33" r="60">
      <c r="B60" s="12">
        <f>HYPERLINK("https://gesdoc.uis.edu.co/share/page/folder-details?nodeRef=workspace://SpacesStore/4d5b6649-2c72-476a-8d9c-eb6e841a8897","0234_2026011837_7837")</f>
      </c>
      <c r="C60" s="12" t="s">
        <v>60</v>
      </c>
      <c r="D60" s="13" t="s">
        <v>123</v>
      </c>
      <c r="E60" s="12" t="s">
        <v>165</v>
      </c>
      <c r="F60" s="12" t="s">
        <v>166</v>
      </c>
      <c r="G60" s="12" t="s">
        <v>218</v>
      </c>
      <c r="H60" s="12" t="s">
        <v>218</v>
      </c>
      <c r="I60" s="12" t="s">
        <v>33</v>
      </c>
      <c r="J60" s="12" t="s">
        <v>33</v>
      </c>
    </row>
    <row customHeight="1" ht="33" r="61">
      <c r="B61" s="12">
        <f>HYPERLINK("https://gesdoc.uis.edu.co/share/page/folder-details?nodeRef=workspace://SpacesStore/a4699322-67e0-46be-a207-e8aba778feb1","0018_2026002512_9285")</f>
      </c>
      <c r="C61" s="12" t="s">
        <v>61</v>
      </c>
      <c r="D61" s="13" t="s">
        <v>131</v>
      </c>
      <c r="E61" s="12" t="s">
        <v>165</v>
      </c>
      <c r="F61" s="12" t="s">
        <v>168</v>
      </c>
      <c r="G61" s="12" t="s">
        <v>219</v>
      </c>
      <c r="H61" s="12" t="s">
        <v>219</v>
      </c>
      <c r="I61" s="12" t="s">
        <v>33</v>
      </c>
      <c r="J61" s="12" t="s">
        <v>33</v>
      </c>
    </row>
    <row customHeight="1" ht="33" r="62">
      <c r="B62" s="12">
        <f>HYPERLINK("https://gesdoc.uis.edu.co/share/page/folder-details?nodeRef=workspace://SpacesStore/d0a77423-43de-4164-baa3-097aa9dc7ef0","2025000188_9701")</f>
      </c>
      <c r="C62" s="12" t="s">
        <v>33</v>
      </c>
      <c r="D62" s="13" t="s">
        <v>127</v>
      </c>
      <c r="E62" s="12" t="s">
        <v>165</v>
      </c>
      <c r="F62" s="12" t="s">
        <v>169</v>
      </c>
      <c r="G62" s="12" t="s">
        <v>220</v>
      </c>
      <c r="H62" s="12" t="s">
        <v>220</v>
      </c>
      <c r="I62" s="12" t="s">
        <v>33</v>
      </c>
      <c r="J62" s="12" t="s">
        <v>33</v>
      </c>
    </row>
    <row customHeight="1" ht="33" r="63">
      <c r="B63" s="12">
        <f>HYPERLINK("https://gesdoc.uis.edu.co/share/page/folder-details?nodeRef=workspace://SpacesStore/25b81a8a-e333-4a98-8bc9-3e8c0f4a2e73","0018_2026002492_9127")</f>
      </c>
      <c r="C63" s="12" t="s">
        <v>62</v>
      </c>
      <c r="D63" s="13" t="s">
        <v>147</v>
      </c>
      <c r="E63" s="12" t="s">
        <v>165</v>
      </c>
      <c r="F63" s="12" t="s">
        <v>168</v>
      </c>
      <c r="G63" s="12" t="s">
        <v>221</v>
      </c>
      <c r="H63" s="12" t="s">
        <v>220</v>
      </c>
      <c r="I63" s="12" t="s">
        <v>33</v>
      </c>
      <c r="J63" s="12" t="s">
        <v>33</v>
      </c>
    </row>
    <row customHeight="1" ht="33" r="64">
      <c r="B64" s="12">
        <f>HYPERLINK("https://gesdoc.uis.edu.co/share/page/folder-details?nodeRef=workspace://SpacesStore/306f350a-1c71-4503-be3c-f64c3da765e5","2026011844_2250")</f>
      </c>
      <c r="C64" s="12" t="s">
        <v>33</v>
      </c>
      <c r="D64" s="13" t="s">
        <v>134</v>
      </c>
      <c r="E64" s="12" t="s">
        <v>165</v>
      </c>
      <c r="F64" s="12" t="s">
        <v>166</v>
      </c>
      <c r="G64" s="12" t="s">
        <v>220</v>
      </c>
      <c r="H64" s="12" t="s">
        <v>220</v>
      </c>
      <c r="I64" s="12" t="s">
        <v>33</v>
      </c>
      <c r="J64" s="12" t="s">
        <v>33</v>
      </c>
    </row>
    <row customHeight="1" ht="33" r="65">
      <c r="B65" s="12">
        <f>HYPERLINK("https://gesdoc.uis.edu.co/share/page/folder-details?nodeRef=workspace://SpacesStore/2cb96c98-0d59-4cfa-add9-1aa328b54769","0270_2026000744_9701")</f>
      </c>
      <c r="C65" s="12" t="s">
        <v>63</v>
      </c>
      <c r="D65" s="13" t="s">
        <v>127</v>
      </c>
      <c r="E65" s="12" t="s">
        <v>165</v>
      </c>
      <c r="F65" s="12" t="s">
        <v>169</v>
      </c>
      <c r="G65" s="12" t="s">
        <v>222</v>
      </c>
      <c r="H65" s="12" t="s">
        <v>337</v>
      </c>
      <c r="I65" s="12" t="s">
        <v>33</v>
      </c>
      <c r="J65" s="12" t="s">
        <v>33</v>
      </c>
    </row>
    <row customHeight="1" ht="33" r="66">
      <c r="B66" s="12">
        <f>HYPERLINK("https://gesdoc.uis.edu.co/share/page/folder-details?nodeRef=workspace://SpacesStore/ed487b61-55c3-45ca-8924-86813235ac08","0020_2026000325_7753")</f>
      </c>
      <c r="C66" s="12" t="s">
        <v>64</v>
      </c>
      <c r="D66" s="13" t="s">
        <v>148</v>
      </c>
      <c r="E66" s="12" t="s">
        <v>165</v>
      </c>
      <c r="F66" s="12" t="s">
        <v>167</v>
      </c>
      <c r="G66" s="12" t="s">
        <v>223</v>
      </c>
      <c r="H66" s="12" t="s">
        <v>338</v>
      </c>
      <c r="I66" s="12" t="s">
        <v>33</v>
      </c>
      <c r="J66" s="12" t="s">
        <v>33</v>
      </c>
    </row>
    <row customHeight="1" ht="33" r="67">
      <c r="B67" s="12">
        <f>HYPERLINK("https://gesdoc.uis.edu.co/share/page/folder-details?nodeRef=workspace://SpacesStore/8c5276c8-fdb5-467b-a08a-e97ce09d38b8","2026011856_2250")</f>
      </c>
      <c r="C67" s="12" t="s">
        <v>33</v>
      </c>
      <c r="D67" s="13" t="s">
        <v>134</v>
      </c>
      <c r="E67" s="12" t="s">
        <v>165</v>
      </c>
      <c r="F67" s="12" t="s">
        <v>166</v>
      </c>
      <c r="G67" s="12" t="s">
        <v>224</v>
      </c>
      <c r="H67" s="12" t="s">
        <v>224</v>
      </c>
      <c r="I67" s="12" t="s">
        <v>33</v>
      </c>
      <c r="J67" s="12" t="s">
        <v>33</v>
      </c>
    </row>
    <row customHeight="1" ht="33" r="68">
      <c r="B68" s="12">
        <f>HYPERLINK("https://gesdoc.uis.edu.co/share/page/folder-details?nodeRef=workspace://SpacesStore/b263a0d2-bb59-4a7b-9efc-87c0b8ce5768","0018_2026002491_9109")</f>
      </c>
      <c r="C68" s="12" t="s">
        <v>65</v>
      </c>
      <c r="D68" s="13" t="s">
        <v>149</v>
      </c>
      <c r="E68" s="12" t="s">
        <v>165</v>
      </c>
      <c r="F68" s="12" t="s">
        <v>168</v>
      </c>
      <c r="G68" s="12" t="s">
        <v>225</v>
      </c>
      <c r="H68" s="12" t="s">
        <v>225</v>
      </c>
      <c r="I68" s="12" t="s">
        <v>33</v>
      </c>
      <c r="J68" s="12" t="s">
        <v>33</v>
      </c>
    </row>
    <row customHeight="1" ht="33" r="69">
      <c r="B69" s="12">
        <f>HYPERLINK("https://gesdoc.uis.edu.co/share/page/folder-details?nodeRef=workspace://SpacesStore/3c7c1ca8-ea54-49fb-8373-62f408ee54b6","0018_2026002295_3140")</f>
      </c>
      <c r="C69" s="12" t="s">
        <v>66</v>
      </c>
      <c r="D69" s="13" t="s">
        <v>145</v>
      </c>
      <c r="E69" s="12" t="s">
        <v>165</v>
      </c>
      <c r="F69" s="12" t="s">
        <v>168</v>
      </c>
      <c r="G69" s="12" t="s">
        <v>226</v>
      </c>
      <c r="H69" s="12" t="s">
        <v>339</v>
      </c>
      <c r="I69" s="12" t="s">
        <v>33</v>
      </c>
      <c r="J69" s="12" t="s">
        <v>33</v>
      </c>
    </row>
    <row customHeight="1" ht="33" r="70">
      <c r="B70" s="12">
        <f>HYPERLINK("https://gesdoc.uis.edu.co/share/page/folder-details?nodeRef=workspace://SpacesStore/8037351b-bad2-4510-bb9d-555a698a6354","0018_2026002502_2110")</f>
      </c>
      <c r="C70" s="12" t="s">
        <v>67</v>
      </c>
      <c r="D70" s="13" t="s">
        <v>150</v>
      </c>
      <c r="E70" s="12" t="s">
        <v>165</v>
      </c>
      <c r="F70" s="12" t="s">
        <v>168</v>
      </c>
      <c r="G70" s="12" t="s">
        <v>227</v>
      </c>
      <c r="H70" s="12" t="s">
        <v>340</v>
      </c>
      <c r="I70" s="12" t="s">
        <v>33</v>
      </c>
      <c r="J70" s="12" t="s">
        <v>33</v>
      </c>
    </row>
    <row customHeight="1" ht="33" r="71">
      <c r="B71" s="12">
        <f>HYPERLINK("https://gesdoc.uis.edu.co/share/page/folder-details?nodeRef=workspace://SpacesStore/e8d35c42-a675-49dd-8d12-d9636c0be8fe","0018_2026002480_3140")</f>
      </c>
      <c r="C71" s="12" t="s">
        <v>68</v>
      </c>
      <c r="D71" s="13" t="s">
        <v>145</v>
      </c>
      <c r="E71" s="12" t="s">
        <v>165</v>
      </c>
      <c r="F71" s="12" t="s">
        <v>168</v>
      </c>
      <c r="G71" s="12" t="s">
        <v>228</v>
      </c>
      <c r="H71" s="12" t="s">
        <v>341</v>
      </c>
      <c r="I71" s="12" t="s">
        <v>33</v>
      </c>
      <c r="J71" s="12" t="s">
        <v>33</v>
      </c>
    </row>
    <row customHeight="1" ht="33" r="72">
      <c r="B72" s="12">
        <f>HYPERLINK("https://gesdoc.uis.edu.co/share/page/folder-details?nodeRef=workspace://SpacesStore/7e1ea443-0cd5-4042-bf40-86f9fe28a817","0018_2026002500_7003")</f>
      </c>
      <c r="C72" s="12" t="s">
        <v>69</v>
      </c>
      <c r="D72" s="13" t="s">
        <v>126</v>
      </c>
      <c r="E72" s="12" t="s">
        <v>165</v>
      </c>
      <c r="F72" s="12" t="s">
        <v>168</v>
      </c>
      <c r="G72" s="12" t="s">
        <v>229</v>
      </c>
      <c r="H72" s="12" t="s">
        <v>229</v>
      </c>
      <c r="I72" s="12" t="s">
        <v>33</v>
      </c>
      <c r="J72" s="12" t="s">
        <v>33</v>
      </c>
    </row>
    <row customHeight="1" ht="33" r="73">
      <c r="B73" s="12">
        <f>HYPERLINK("https://gesdoc.uis.edu.co/share/page/folder-details?nodeRef=workspace://SpacesStore/a74214dc-bd31-480a-b85a-880bfe9d84a6","0020_2026000333_9669")</f>
      </c>
      <c r="C73" s="12" t="s">
        <v>70</v>
      </c>
      <c r="D73" s="13" t="s">
        <v>151</v>
      </c>
      <c r="E73" s="12" t="s">
        <v>165</v>
      </c>
      <c r="F73" s="12" t="s">
        <v>167</v>
      </c>
      <c r="G73" s="12" t="s">
        <v>230</v>
      </c>
      <c r="H73" s="12" t="s">
        <v>230</v>
      </c>
      <c r="I73" s="12" t="s">
        <v>33</v>
      </c>
      <c r="J73" s="12" t="s">
        <v>33</v>
      </c>
    </row>
    <row customHeight="1" ht="33" r="74">
      <c r="B74" s="12">
        <f>HYPERLINK("https://gesdoc.uis.edu.co/share/page/folder-details?nodeRef=workspace://SpacesStore/988a44af-864f-488f-9194-66f0a7133785","0020_2026000334")</f>
      </c>
      <c r="C74" s="12" t="s">
        <v>71</v>
      </c>
      <c r="D74" s="13" t="s">
        <v>141</v>
      </c>
      <c r="E74" s="12" t="s">
        <v>165</v>
      </c>
      <c r="F74" s="12" t="s">
        <v>167</v>
      </c>
      <c r="G74" s="12" t="s">
        <v>231</v>
      </c>
      <c r="H74" s="12" t="s">
        <v>231</v>
      </c>
      <c r="I74" s="12" t="s">
        <v>33</v>
      </c>
      <c r="J74" s="12" t="s">
        <v>33</v>
      </c>
    </row>
    <row customHeight="1" ht="33" r="75">
      <c r="B75" s="12">
        <f>HYPERLINK("https://gesdoc.uis.edu.co/share/page/folder-details?nodeRef=workspace://SpacesStore/8c7fe519-7665-4985-b00d-543edbc3d736","0018_2026002495_7849")</f>
      </c>
      <c r="C75" s="12" t="s">
        <v>72</v>
      </c>
      <c r="D75" s="13" t="s">
        <v>152</v>
      </c>
      <c r="E75" s="12" t="s">
        <v>165</v>
      </c>
      <c r="F75" s="12" t="s">
        <v>168</v>
      </c>
      <c r="G75" s="12" t="s">
        <v>232</v>
      </c>
      <c r="H75" s="12" t="s">
        <v>232</v>
      </c>
      <c r="I75" s="12" t="s">
        <v>33</v>
      </c>
      <c r="J75" s="12" t="s">
        <v>33</v>
      </c>
    </row>
    <row customHeight="1" ht="33" r="76">
      <c r="B76" s="12">
        <f>HYPERLINK("https://gesdoc.uis.edu.co/share/page/folder-details?nodeRef=workspace://SpacesStore/fd4fb052-23d7-4a6c-bfbf-3008f1b600a6","450_2026000088")</f>
      </c>
      <c r="C76" s="12" t="s">
        <v>33</v>
      </c>
      <c r="D76" s="13" t="s">
        <v>151</v>
      </c>
      <c r="E76" s="12" t="s">
        <v>165</v>
      </c>
      <c r="F76" s="12" t="s">
        <v>172</v>
      </c>
      <c r="G76" s="12" t="s">
        <v>233</v>
      </c>
      <c r="H76" s="12" t="s">
        <v>342</v>
      </c>
      <c r="I76" s="12" t="s">
        <v>33</v>
      </c>
      <c r="J76" s="12" t="s">
        <v>33</v>
      </c>
    </row>
    <row customHeight="1" ht="33" r="77">
      <c r="B77" s="12">
        <f>HYPERLINK("https://gesdoc.uis.edu.co/share/page/folder-details?nodeRef=workspace://SpacesStore/f8e379a5-8007-4b34-a117-813179b1b1a2","0018_2026002478_9260")</f>
      </c>
      <c r="C77" s="12" t="s">
        <v>73</v>
      </c>
      <c r="D77" s="13" t="s">
        <v>129</v>
      </c>
      <c r="E77" s="12" t="s">
        <v>165</v>
      </c>
      <c r="F77" s="12" t="s">
        <v>168</v>
      </c>
      <c r="G77" s="12" t="s">
        <v>234</v>
      </c>
      <c r="H77" s="12" t="s">
        <v>216</v>
      </c>
      <c r="I77" s="12" t="s">
        <v>33</v>
      </c>
      <c r="J77" s="12" t="s">
        <v>33</v>
      </c>
    </row>
    <row customHeight="1" ht="33" r="78">
      <c r="B78" s="12">
        <f>HYPERLINK("https://gesdoc.uis.edu.co/share/page/folder-details?nodeRef=workspace://SpacesStore/96ba26c1-cc5c-484f-8fa6-3b0330cfd988","0020_2026000348_7063")</f>
      </c>
      <c r="C78" s="12" t="s">
        <v>74</v>
      </c>
      <c r="D78" s="13" t="s">
        <v>153</v>
      </c>
      <c r="E78" s="12" t="s">
        <v>165</v>
      </c>
      <c r="F78" s="12" t="s">
        <v>167</v>
      </c>
      <c r="G78" s="12" t="s">
        <v>235</v>
      </c>
      <c r="H78" s="12" t="s">
        <v>343</v>
      </c>
      <c r="I78" s="12" t="s">
        <v>33</v>
      </c>
      <c r="J78" s="12" t="s">
        <v>33</v>
      </c>
    </row>
    <row customHeight="1" ht="33" r="79">
      <c r="B79" s="12">
        <f>HYPERLINK("https://gesdoc.uis.edu.co/share/page/folder-details?nodeRef=workspace://SpacesStore/234ad7b5-0e15-4fad-8005-095825e01517","20_2026000341")</f>
      </c>
      <c r="C79" s="12" t="s">
        <v>33</v>
      </c>
      <c r="D79" s="13" t="s">
        <v>139</v>
      </c>
      <c r="E79" s="12" t="s">
        <v>165</v>
      </c>
      <c r="F79" s="12" t="s">
        <v>167</v>
      </c>
      <c r="G79" s="12" t="s">
        <v>236</v>
      </c>
      <c r="H79" s="12" t="s">
        <v>344</v>
      </c>
      <c r="I79" s="12" t="s">
        <v>33</v>
      </c>
      <c r="J79" s="12" t="s">
        <v>33</v>
      </c>
    </row>
    <row customHeight="1" ht="33" r="80">
      <c r="B80" s="12">
        <f>HYPERLINK("https://gesdoc.uis.edu.co/share/page/folder-details?nodeRef=workspace://SpacesStore/1e595d23-ba19-4e4d-b172-2980cbaf433f","2026011677_2250")</f>
      </c>
      <c r="C80" s="12" t="s">
        <v>33</v>
      </c>
      <c r="D80" s="13" t="s">
        <v>134</v>
      </c>
      <c r="E80" s="12" t="s">
        <v>165</v>
      </c>
      <c r="F80" s="12" t="s">
        <v>166</v>
      </c>
      <c r="G80" s="12" t="s">
        <v>237</v>
      </c>
      <c r="H80" s="12" t="s">
        <v>345</v>
      </c>
      <c r="I80" s="12" t="s">
        <v>33</v>
      </c>
      <c r="J80" s="12" t="s">
        <v>33</v>
      </c>
    </row>
    <row customHeight="1" ht="33" r="81">
      <c r="B81" s="12">
        <f>HYPERLINK("https://gesdoc.uis.edu.co/share/page/folder-details?nodeRef=workspace://SpacesStore/1be1ba84-d160-40c3-8bc1-08ec27e28f1d","0018_2026002457_3140")</f>
      </c>
      <c r="C81" s="12" t="s">
        <v>75</v>
      </c>
      <c r="D81" s="13" t="s">
        <v>145</v>
      </c>
      <c r="E81" s="12" t="s">
        <v>165</v>
      </c>
      <c r="F81" s="12" t="s">
        <v>168</v>
      </c>
      <c r="G81" s="12" t="s">
        <v>238</v>
      </c>
      <c r="H81" s="12" t="s">
        <v>346</v>
      </c>
      <c r="I81" s="12" t="s">
        <v>33</v>
      </c>
      <c r="J81" s="12" t="s">
        <v>33</v>
      </c>
    </row>
    <row customHeight="1" ht="33" r="82">
      <c r="B82" s="12">
        <f>HYPERLINK("https://gesdoc.uis.edu.co/share/page/folder-details?nodeRef=workspace://SpacesStore/802f2e59-edf8-4234-9180-e8e134e7c662","2026011764_2250")</f>
      </c>
      <c r="C82" s="12" t="s">
        <v>33</v>
      </c>
      <c r="D82" s="13" t="s">
        <v>134</v>
      </c>
      <c r="E82" s="12" t="s">
        <v>165</v>
      </c>
      <c r="F82" s="12" t="s">
        <v>166</v>
      </c>
      <c r="G82" s="12" t="s">
        <v>239</v>
      </c>
      <c r="H82" s="12" t="s">
        <v>239</v>
      </c>
      <c r="I82" s="12" t="s">
        <v>33</v>
      </c>
      <c r="J82" s="12" t="s">
        <v>33</v>
      </c>
    </row>
    <row customHeight="1" ht="33" r="83">
      <c r="B83" s="12">
        <f>HYPERLINK("https://gesdoc.uis.edu.co/share/page/folder-details?nodeRef=workspace://SpacesStore/44b3c252-3c9f-42ec-8a79-46bbfc611f0d","2026011763_2250")</f>
      </c>
      <c r="C83" s="12" t="s">
        <v>33</v>
      </c>
      <c r="D83" s="13" t="s">
        <v>134</v>
      </c>
      <c r="E83" s="12" t="s">
        <v>165</v>
      </c>
      <c r="F83" s="12" t="s">
        <v>166</v>
      </c>
      <c r="G83" s="12" t="s">
        <v>240</v>
      </c>
      <c r="H83" s="12" t="s">
        <v>240</v>
      </c>
      <c r="I83" s="12" t="s">
        <v>33</v>
      </c>
      <c r="J83" s="12" t="s">
        <v>33</v>
      </c>
    </row>
    <row customHeight="1" ht="33" r="84">
      <c r="B84" s="12">
        <f>HYPERLINK("https://gesdoc.uis.edu.co/share/page/folder-details?nodeRef=workspace://SpacesStore/1fd8cb4b-dd2b-422e-baae-6441dafed9ac","2026011765_2250")</f>
      </c>
      <c r="C84" s="12" t="s">
        <v>33</v>
      </c>
      <c r="D84" s="13" t="s">
        <v>134</v>
      </c>
      <c r="E84" s="12" t="s">
        <v>165</v>
      </c>
      <c r="F84" s="12" t="s">
        <v>166</v>
      </c>
      <c r="G84" s="12" t="s">
        <v>239</v>
      </c>
      <c r="H84" s="12" t="s">
        <v>239</v>
      </c>
      <c r="I84" s="12" t="s">
        <v>33</v>
      </c>
      <c r="J84" s="12" t="s">
        <v>33</v>
      </c>
    </row>
    <row customHeight="1" ht="33" r="85">
      <c r="B85" s="12">
        <f>HYPERLINK("https://gesdoc.uis.edu.co/share/page/folder-details?nodeRef=workspace://SpacesStore/0f47c2c4-d1c0-4ec4-896b-d49b8e267edc","0019_2026000113_7854")</f>
      </c>
      <c r="C85" s="12" t="s">
        <v>76</v>
      </c>
      <c r="D85" s="13" t="s">
        <v>154</v>
      </c>
      <c r="E85" s="12" t="s">
        <v>165</v>
      </c>
      <c r="F85" s="12" t="s">
        <v>173</v>
      </c>
      <c r="G85" s="12" t="s">
        <v>241</v>
      </c>
      <c r="H85" s="12" t="s">
        <v>347</v>
      </c>
      <c r="I85" s="12" t="s">
        <v>33</v>
      </c>
      <c r="J85" s="12" t="s">
        <v>33</v>
      </c>
    </row>
    <row customHeight="1" ht="33" r="86">
      <c r="B86" s="12">
        <f>HYPERLINK("https://gesdoc.uis.edu.co/share/page/folder-details?nodeRef=workspace://SpacesStore/6912413e-dc43-4adb-8de6-f2e3931d4aaf","0234_2026011770_7837")</f>
      </c>
      <c r="C86" s="12" t="s">
        <v>77</v>
      </c>
      <c r="D86" s="13" t="s">
        <v>123</v>
      </c>
      <c r="E86" s="12" t="s">
        <v>165</v>
      </c>
      <c r="F86" s="12" t="s">
        <v>166</v>
      </c>
      <c r="G86" s="12" t="s">
        <v>242</v>
      </c>
      <c r="H86" s="12" t="s">
        <v>242</v>
      </c>
      <c r="I86" s="12" t="s">
        <v>33</v>
      </c>
      <c r="J86" s="12" t="s">
        <v>33</v>
      </c>
    </row>
    <row customHeight="1" ht="33" r="87">
      <c r="B87" s="12">
        <f>HYPERLINK("https://gesdoc.uis.edu.co/share/page/folder-details?nodeRef=workspace://SpacesStore/22b5fd82-8e00-4137-94e2-f8700be9563a","0234_2026011733_2240")</f>
      </c>
      <c r="C87" s="12" t="s">
        <v>78</v>
      </c>
      <c r="D87" s="13" t="s">
        <v>123</v>
      </c>
      <c r="E87" s="12" t="s">
        <v>165</v>
      </c>
      <c r="F87" s="12" t="s">
        <v>166</v>
      </c>
      <c r="G87" s="12" t="s">
        <v>242</v>
      </c>
      <c r="H87" s="12" t="s">
        <v>242</v>
      </c>
      <c r="I87" s="12" t="s">
        <v>33</v>
      </c>
      <c r="J87" s="12" t="s">
        <v>33</v>
      </c>
    </row>
    <row customHeight="1" ht="33" r="88">
      <c r="B88" s="12">
        <f>HYPERLINK("https://gesdoc.uis.edu.co/share/page/folder-details?nodeRef=workspace://SpacesStore/90c8b700-f221-45c4-a88e-4eeedecad0da","0020_2026000350_7854")</f>
      </c>
      <c r="C88" s="12" t="s">
        <v>79</v>
      </c>
      <c r="D88" s="13" t="s">
        <v>154</v>
      </c>
      <c r="E88" s="12" t="s">
        <v>165</v>
      </c>
      <c r="F88" s="12" t="s">
        <v>167</v>
      </c>
      <c r="G88" s="12" t="s">
        <v>243</v>
      </c>
      <c r="H88" s="12" t="s">
        <v>348</v>
      </c>
      <c r="I88" s="12" t="s">
        <v>33</v>
      </c>
      <c r="J88" s="12" t="s">
        <v>33</v>
      </c>
    </row>
    <row customHeight="1" ht="33" r="89">
      <c r="B89" s="12">
        <f>HYPERLINK("https://gesdoc.uis.edu.co/share/page/folder-details?nodeRef=workspace://SpacesStore/17259d37-092f-4288-af40-63dd982f8cc0","0020_2026000337_6861")</f>
      </c>
      <c r="C89" s="12" t="s">
        <v>80</v>
      </c>
      <c r="D89" s="13" t="s">
        <v>155</v>
      </c>
      <c r="E89" s="12" t="s">
        <v>165</v>
      </c>
      <c r="F89" s="12" t="s">
        <v>167</v>
      </c>
      <c r="G89" s="12" t="s">
        <v>244</v>
      </c>
      <c r="H89" s="12" t="s">
        <v>349</v>
      </c>
      <c r="I89" s="12" t="s">
        <v>33</v>
      </c>
      <c r="J89" s="12" t="s">
        <v>33</v>
      </c>
    </row>
    <row customHeight="1" ht="33" r="90">
      <c r="B90" s="12">
        <f>HYPERLINK("https://gesdoc.uis.edu.co/share/page/folder-details?nodeRef=workspace://SpacesStore/79fcb946-f530-4922-b66f-4d8caf17a251","0018_2026002399_9198")</f>
      </c>
      <c r="C90" s="12" t="s">
        <v>81</v>
      </c>
      <c r="D90" s="13" t="s">
        <v>143</v>
      </c>
      <c r="E90" s="12" t="s">
        <v>165</v>
      </c>
      <c r="F90" s="12" t="s">
        <v>168</v>
      </c>
      <c r="G90" s="12" t="s">
        <v>245</v>
      </c>
      <c r="H90" s="12" t="s">
        <v>350</v>
      </c>
      <c r="I90" s="12" t="s">
        <v>33</v>
      </c>
      <c r="J90" s="12" t="s">
        <v>33</v>
      </c>
    </row>
    <row customHeight="1" ht="33" r="91">
      <c r="B91" s="12">
        <f>HYPERLINK("https://gesdoc.uis.edu.co/share/page/folder-details?nodeRef=workspace://SpacesStore/89cd86a0-aeb6-4dd2-9b08-6832093958d4","0020_2026000330_2220")</f>
      </c>
      <c r="C91" s="12" t="s">
        <v>82</v>
      </c>
      <c r="D91" s="13" t="s">
        <v>156</v>
      </c>
      <c r="E91" s="12" t="s">
        <v>165</v>
      </c>
      <c r="F91" s="12" t="s">
        <v>167</v>
      </c>
      <c r="G91" s="12" t="s">
        <v>246</v>
      </c>
      <c r="H91" s="12" t="s">
        <v>246</v>
      </c>
      <c r="I91" s="12" t="s">
        <v>33</v>
      </c>
      <c r="J91" s="12" t="s">
        <v>33</v>
      </c>
    </row>
    <row customHeight="1" ht="33" r="92">
      <c r="B92" s="12">
        <f>HYPERLINK("https://gesdoc.uis.edu.co/share/page/folder-details?nodeRef=workspace://SpacesStore/997943ea-33d1-4b76-807b-f59bfee7de34","0020_2026000355_7061")</f>
      </c>
      <c r="C92" s="12" t="s">
        <v>83</v>
      </c>
      <c r="D92" s="13" t="s">
        <v>157</v>
      </c>
      <c r="E92" s="12" t="s">
        <v>165</v>
      </c>
      <c r="F92" s="12" t="s">
        <v>167</v>
      </c>
      <c r="G92" s="12" t="s">
        <v>247</v>
      </c>
      <c r="H92" s="12" t="s">
        <v>246</v>
      </c>
      <c r="I92" s="12" t="s">
        <v>33</v>
      </c>
      <c r="J92" s="12" t="s">
        <v>33</v>
      </c>
    </row>
    <row customHeight="1" ht="33" r="93">
      <c r="B93" s="12">
        <f>HYPERLINK("https://gesdoc.uis.edu.co/share/page/folder-details?nodeRef=workspace://SpacesStore/08d9b2cb-10ef-4b3c-8cfc-9629b4292f9c","0020_2026000312_2220")</f>
      </c>
      <c r="C93" s="12" t="s">
        <v>84</v>
      </c>
      <c r="D93" s="13" t="s">
        <v>156</v>
      </c>
      <c r="E93" s="12" t="s">
        <v>165</v>
      </c>
      <c r="F93" s="12" t="s">
        <v>167</v>
      </c>
      <c r="G93" s="12" t="s">
        <v>246</v>
      </c>
      <c r="H93" s="12" t="s">
        <v>246</v>
      </c>
      <c r="I93" s="12" t="s">
        <v>33</v>
      </c>
      <c r="J93" s="12" t="s">
        <v>33</v>
      </c>
    </row>
    <row customHeight="1" ht="33" r="94">
      <c r="B94" s="12">
        <f>HYPERLINK("https://gesdoc.uis.edu.co/share/page/folder-details?nodeRef=workspace://SpacesStore/dd9f5015-0195-41df-a0a4-6ac84fb3f0c6","0049_2026000022_9870")</f>
      </c>
      <c r="C94" s="12" t="s">
        <v>85</v>
      </c>
      <c r="D94" s="13" t="s">
        <v>128</v>
      </c>
      <c r="E94" s="12" t="s">
        <v>165</v>
      </c>
      <c r="F94" s="12" t="s">
        <v>174</v>
      </c>
      <c r="G94" s="12" t="s">
        <v>248</v>
      </c>
      <c r="H94" s="12" t="s">
        <v>248</v>
      </c>
      <c r="I94" s="12" t="s">
        <v>33</v>
      </c>
      <c r="J94" s="12" t="s">
        <v>33</v>
      </c>
    </row>
    <row customHeight="1" ht="33" r="95">
      <c r="B95" s="12">
        <f>HYPERLINK("https://gesdoc.uis.edu.co/share/page/folder-details?nodeRef=workspace://SpacesStore/26fc142f-cb34-413f-82b6-d020a0997622","0020_2026000338_6861")</f>
      </c>
      <c r="C95" s="12" t="s">
        <v>86</v>
      </c>
      <c r="D95" s="13" t="s">
        <v>155</v>
      </c>
      <c r="E95" s="12" t="s">
        <v>165</v>
      </c>
      <c r="F95" s="12" t="s">
        <v>167</v>
      </c>
      <c r="G95" s="12" t="s">
        <v>249</v>
      </c>
      <c r="H95" s="12" t="s">
        <v>351</v>
      </c>
      <c r="I95" s="12" t="s">
        <v>33</v>
      </c>
      <c r="J95" s="12" t="s">
        <v>33</v>
      </c>
    </row>
    <row customHeight="1" ht="33" r="96">
      <c r="B96" s="12">
        <f>HYPERLINK("https://gesdoc.uis.edu.co/share/page/folder-details?nodeRef=workspace://SpacesStore/03736b09-844f-4645-8cda-1d041c206f6c","0020_2026000354_7083")</f>
      </c>
      <c r="C96" s="12" t="s">
        <v>87</v>
      </c>
      <c r="D96" s="13" t="s">
        <v>143</v>
      </c>
      <c r="E96" s="12" t="s">
        <v>165</v>
      </c>
      <c r="F96" s="12" t="s">
        <v>167</v>
      </c>
      <c r="G96" s="12" t="s">
        <v>250</v>
      </c>
      <c r="H96" s="12" t="s">
        <v>250</v>
      </c>
      <c r="I96" s="12" t="s">
        <v>33</v>
      </c>
      <c r="J96" s="12" t="s">
        <v>33</v>
      </c>
    </row>
    <row customHeight="1" ht="33" r="97">
      <c r="B97" s="12">
        <f>HYPERLINK("https://gesdoc.uis.edu.co/share/page/folder-details?nodeRef=workspace://SpacesStore/51dd510e-4a8e-4dbf-a4c4-8e885474e300","0018_2026002465_7854")</f>
      </c>
      <c r="C97" s="12" t="s">
        <v>88</v>
      </c>
      <c r="D97" s="13" t="s">
        <v>154</v>
      </c>
      <c r="E97" s="12" t="s">
        <v>165</v>
      </c>
      <c r="F97" s="12" t="s">
        <v>168</v>
      </c>
      <c r="G97" s="12" t="s">
        <v>251</v>
      </c>
      <c r="H97" s="12" t="s">
        <v>352</v>
      </c>
      <c r="I97" s="12" t="s">
        <v>33</v>
      </c>
      <c r="J97" s="12" t="s">
        <v>33</v>
      </c>
    </row>
    <row customHeight="1" ht="33" r="98">
      <c r="B98" s="12">
        <f>HYPERLINK("https://gesdoc.uis.edu.co/share/page/folder-details?nodeRef=workspace://SpacesStore/a14aad61-081e-4251-9752-2496bc339009","0018_2026002437_9285")</f>
      </c>
      <c r="C98" s="12" t="s">
        <v>89</v>
      </c>
      <c r="D98" s="13" t="s">
        <v>131</v>
      </c>
      <c r="E98" s="12" t="s">
        <v>165</v>
      </c>
      <c r="F98" s="12" t="s">
        <v>168</v>
      </c>
      <c r="G98" s="12" t="s">
        <v>252</v>
      </c>
      <c r="H98" s="12" t="s">
        <v>252</v>
      </c>
      <c r="I98" s="12" t="s">
        <v>33</v>
      </c>
      <c r="J98" s="12" t="s">
        <v>33</v>
      </c>
    </row>
    <row customHeight="1" ht="33" r="99">
      <c r="B99" s="12">
        <f>HYPERLINK("https://gesdoc.uis.edu.co/share/page/folder-details?nodeRef=workspace://SpacesStore/0d1a8264-2c94-4a26-bc23-6e220b278bff","0049_2026000023_8095")</f>
      </c>
      <c r="C99" s="12" t="s">
        <v>90</v>
      </c>
      <c r="D99" s="13" t="s">
        <v>128</v>
      </c>
      <c r="E99" s="12" t="s">
        <v>165</v>
      </c>
      <c r="F99" s="12" t="s">
        <v>174</v>
      </c>
      <c r="G99" s="12" t="s">
        <v>253</v>
      </c>
      <c r="H99" s="12" t="s">
        <v>353</v>
      </c>
      <c r="I99" s="12" t="s">
        <v>33</v>
      </c>
      <c r="J99" s="12" t="s">
        <v>33</v>
      </c>
    </row>
    <row customHeight="1" ht="33" r="100">
      <c r="B100" s="12">
        <f>HYPERLINK("https://gesdoc.uis.edu.co/share/page/folder-details?nodeRef=workspace://SpacesStore/3158c541-26d0-4c69-adbf-4339168489c3","0234_2026011482_7966")</f>
      </c>
      <c r="C100" s="12" t="s">
        <v>91</v>
      </c>
      <c r="D100" s="13" t="s">
        <v>158</v>
      </c>
      <c r="E100" s="12" t="s">
        <v>165</v>
      </c>
      <c r="F100" s="12" t="s">
        <v>166</v>
      </c>
      <c r="G100" s="12" t="s">
        <v>254</v>
      </c>
      <c r="H100" s="12" t="s">
        <v>254</v>
      </c>
      <c r="I100" s="12" t="s">
        <v>33</v>
      </c>
      <c r="J100" s="12" t="s">
        <v>33</v>
      </c>
    </row>
    <row customHeight="1" ht="33" r="101">
      <c r="B101" s="12">
        <f>HYPERLINK("https://gesdoc.uis.edu.co/share/page/folder-details?nodeRef=workspace://SpacesStore/c7c521a4-16fc-44ed-8162-729f637aaf5a","0234_2026010066_7807")</f>
      </c>
      <c r="C101" s="12" t="s">
        <v>92</v>
      </c>
      <c r="D101" s="13" t="s">
        <v>158</v>
      </c>
      <c r="E101" s="12" t="s">
        <v>165</v>
      </c>
      <c r="F101" s="12" t="s">
        <v>166</v>
      </c>
      <c r="G101" s="12" t="s">
        <v>254</v>
      </c>
      <c r="H101" s="12" t="s">
        <v>254</v>
      </c>
      <c r="I101" s="12" t="s">
        <v>33</v>
      </c>
      <c r="J101" s="12" t="s">
        <v>33</v>
      </c>
    </row>
    <row customHeight="1" ht="33" r="102">
      <c r="B102" s="12">
        <f>HYPERLINK("https://gesdoc.uis.edu.co/share/page/folder-details?nodeRef=workspace://SpacesStore/938aaed2-0200-4a67-a633-bfca4335bc23","0234_2026010697_7807")</f>
      </c>
      <c r="C102" s="12" t="s">
        <v>93</v>
      </c>
      <c r="D102" s="13" t="s">
        <v>158</v>
      </c>
      <c r="E102" s="12" t="s">
        <v>165</v>
      </c>
      <c r="F102" s="12" t="s">
        <v>166</v>
      </c>
      <c r="G102" s="12" t="s">
        <v>254</v>
      </c>
      <c r="H102" s="12" t="s">
        <v>254</v>
      </c>
      <c r="I102" s="12" t="s">
        <v>33</v>
      </c>
      <c r="J102" s="12" t="s">
        <v>33</v>
      </c>
    </row>
    <row customHeight="1" ht="33" r="103">
      <c r="B103" s="12">
        <f>HYPERLINK("https://gesdoc.uis.edu.co/share/page/folder-details?nodeRef=workspace://SpacesStore/89153bfc-28c0-4b05-ac5e-dd999dbdae18","0234_2026010170_7807")</f>
      </c>
      <c r="C103" s="12" t="s">
        <v>94</v>
      </c>
      <c r="D103" s="13" t="s">
        <v>158</v>
      </c>
      <c r="E103" s="12" t="s">
        <v>165</v>
      </c>
      <c r="F103" s="12" t="s">
        <v>166</v>
      </c>
      <c r="G103" s="12" t="s">
        <v>254</v>
      </c>
      <c r="H103" s="12" t="s">
        <v>254</v>
      </c>
      <c r="I103" s="12" t="s">
        <v>33</v>
      </c>
      <c r="J103" s="12" t="s">
        <v>33</v>
      </c>
    </row>
    <row customHeight="1" ht="33" r="104">
      <c r="B104" s="12">
        <f>HYPERLINK("https://gesdoc.uis.edu.co/share/page/folder-details?nodeRef=workspace://SpacesStore/68155ded-dda1-45ed-a796-6248e124ede1","0234_2026010464_7807")</f>
      </c>
      <c r="C104" s="12" t="s">
        <v>95</v>
      </c>
      <c r="D104" s="13" t="s">
        <v>158</v>
      </c>
      <c r="E104" s="12" t="s">
        <v>165</v>
      </c>
      <c r="F104" s="12" t="s">
        <v>166</v>
      </c>
      <c r="G104" s="12" t="s">
        <v>254</v>
      </c>
      <c r="H104" s="12" t="s">
        <v>254</v>
      </c>
      <c r="I104" s="12" t="s">
        <v>33</v>
      </c>
      <c r="J104" s="12" t="s">
        <v>33</v>
      </c>
    </row>
    <row customHeight="1" ht="33" r="105">
      <c r="B105" s="12">
        <f>HYPERLINK("https://gesdoc.uis.edu.co/share/page/folder-details?nodeRef=workspace://SpacesStore/e00cb672-6ed6-45c0-9a4a-5162df9ef3d3","2026011502_7930")</f>
      </c>
      <c r="C105" s="12" t="s">
        <v>33</v>
      </c>
      <c r="D105" s="13" t="s">
        <v>134</v>
      </c>
      <c r="E105" s="12" t="s">
        <v>165</v>
      </c>
      <c r="F105" s="12" t="s">
        <v>166</v>
      </c>
      <c r="G105" s="12" t="s">
        <v>255</v>
      </c>
      <c r="H105" s="12" t="s">
        <v>354</v>
      </c>
      <c r="I105" s="12" t="s">
        <v>33</v>
      </c>
      <c r="J105" s="12" t="s">
        <v>33</v>
      </c>
    </row>
    <row customHeight="1" ht="33" r="106">
      <c r="B106" s="12">
        <f>HYPERLINK("https://gesdoc.uis.edu.co/share/page/folder-details?nodeRef=workspace://SpacesStore/be15379f-db3d-4101-a199-943655ec0d0d","2025000235_9702")</f>
      </c>
      <c r="C106" s="12" t="s">
        <v>33</v>
      </c>
      <c r="D106" s="13" t="s">
        <v>127</v>
      </c>
      <c r="E106" s="12" t="s">
        <v>165</v>
      </c>
      <c r="F106" s="12" t="s">
        <v>169</v>
      </c>
      <c r="G106" s="12" t="s">
        <v>256</v>
      </c>
      <c r="H106" s="12" t="s">
        <v>256</v>
      </c>
      <c r="I106" s="12" t="s">
        <v>33</v>
      </c>
      <c r="J106" s="12" t="s">
        <v>33</v>
      </c>
    </row>
    <row customHeight="1" ht="33" r="107">
      <c r="B107" s="12">
        <f>HYPERLINK("https://gesdoc.uis.edu.co/share/page/folder-details?nodeRef=workspace://SpacesStore/948d43d0-5226-4e72-9c50-65377f0bc376","0018_2026002487_9109")</f>
      </c>
      <c r="C107" s="12" t="s">
        <v>96</v>
      </c>
      <c r="D107" s="13" t="s">
        <v>149</v>
      </c>
      <c r="E107" s="12" t="s">
        <v>165</v>
      </c>
      <c r="F107" s="12" t="s">
        <v>168</v>
      </c>
      <c r="G107" s="12" t="s">
        <v>257</v>
      </c>
      <c r="H107" s="12" t="s">
        <v>355</v>
      </c>
      <c r="I107" s="12" t="s">
        <v>33</v>
      </c>
      <c r="J107" s="12" t="s">
        <v>33</v>
      </c>
    </row>
    <row customHeight="1" ht="33" r="108">
      <c r="B108" s="12">
        <f>HYPERLINK("https://gesdoc.uis.edu.co/share/page/folder-details?nodeRef=workspace://SpacesStore/f12f47db-90d9-45bc-a460-139ca780d75b","0020_2026000362_7858")</f>
      </c>
      <c r="C108" s="12" t="s">
        <v>97</v>
      </c>
      <c r="D108" s="13" t="s">
        <v>159</v>
      </c>
      <c r="E108" s="12" t="s">
        <v>165</v>
      </c>
      <c r="F108" s="12" t="s">
        <v>167</v>
      </c>
      <c r="G108" s="12" t="s">
        <v>258</v>
      </c>
      <c r="H108" s="12" t="s">
        <v>356</v>
      </c>
      <c r="I108" s="12" t="s">
        <v>33</v>
      </c>
      <c r="J108" s="12" t="s">
        <v>33</v>
      </c>
    </row>
    <row customHeight="1" ht="33" r="109">
      <c r="B109" s="12">
        <f>HYPERLINK("https://gesdoc.uis.edu.co/share/page/folder-details?nodeRef=workspace://SpacesStore/2a4378a0-5065-4602-8f91-aeccd5175580","0018_2026002429_3140")</f>
      </c>
      <c r="C109" s="12" t="s">
        <v>98</v>
      </c>
      <c r="D109" s="13" t="s">
        <v>145</v>
      </c>
      <c r="E109" s="12" t="s">
        <v>165</v>
      </c>
      <c r="F109" s="12" t="s">
        <v>168</v>
      </c>
      <c r="G109" s="12" t="s">
        <v>247</v>
      </c>
      <c r="H109" s="12" t="s">
        <v>357</v>
      </c>
      <c r="I109" s="12" t="s">
        <v>33</v>
      </c>
      <c r="J109" s="12" t="s">
        <v>33</v>
      </c>
    </row>
    <row customHeight="1" ht="33" r="110">
      <c r="B110" s="12">
        <f>HYPERLINK("https://gesdoc.uis.edu.co/share/page/folder-details?nodeRef=workspace://SpacesStore/3f39b63f-b18a-4a28-99f7-bd7b10bee98f","0002_2026002513_6869")</f>
      </c>
      <c r="C110" s="12" t="s">
        <v>99</v>
      </c>
      <c r="D110" s="13" t="s">
        <v>160</v>
      </c>
      <c r="E110" s="12" t="s">
        <v>165</v>
      </c>
      <c r="F110" s="12" t="s">
        <v>168</v>
      </c>
      <c r="G110" s="12" t="s">
        <v>259</v>
      </c>
      <c r="H110" s="12" t="s">
        <v>261</v>
      </c>
      <c r="I110" s="12" t="s">
        <v>33</v>
      </c>
      <c r="J110" s="12" t="s">
        <v>33</v>
      </c>
    </row>
    <row customHeight="1" ht="33" r="111">
      <c r="B111" s="12">
        <f>HYPERLINK("https://gesdoc.uis.edu.co/share/page/folder-details?nodeRef=workspace://SpacesStore/300ea36a-407e-49ff-aece-0c0994540a74","0003_2026002515_6869")</f>
      </c>
      <c r="C111" s="12" t="s">
        <v>100</v>
      </c>
      <c r="D111" s="13" t="s">
        <v>160</v>
      </c>
      <c r="E111" s="12" t="s">
        <v>165</v>
      </c>
      <c r="F111" s="12" t="s">
        <v>168</v>
      </c>
      <c r="G111" s="12" t="s">
        <v>260</v>
      </c>
      <c r="H111" s="12" t="s">
        <v>259</v>
      </c>
      <c r="I111" s="12" t="s">
        <v>33</v>
      </c>
      <c r="J111" s="12" t="s">
        <v>33</v>
      </c>
    </row>
    <row customHeight="1" ht="33" r="112">
      <c r="B112" s="12">
        <f>HYPERLINK("https://gesdoc.uis.edu.co/share/page/folder-details?nodeRef=workspace://SpacesStore/79c0e1d8-82dd-4b9b-aa62-9c7e4f6d715e","0001_2026002499_6869")</f>
      </c>
      <c r="C112" s="12" t="s">
        <v>101</v>
      </c>
      <c r="D112" s="13" t="s">
        <v>160</v>
      </c>
      <c r="E112" s="12" t="s">
        <v>165</v>
      </c>
      <c r="F112" s="12" t="s">
        <v>168</v>
      </c>
      <c r="G112" s="12" t="s">
        <v>261</v>
      </c>
      <c r="H112" s="12" t="s">
        <v>358</v>
      </c>
      <c r="I112" s="12" t="s">
        <v>33</v>
      </c>
      <c r="J112" s="12" t="s">
        <v>33</v>
      </c>
    </row>
    <row customHeight="1" ht="33" r="113">
      <c r="B113" s="12">
        <f>HYPERLINK("https://gesdoc.uis.edu.co/share/page/folder-details?nodeRef=workspace://SpacesStore/1e4638ea-fa0e-452b-9c03-7b8a3e69f1ea","2025000119_9701")</f>
      </c>
      <c r="C113" s="12" t="s">
        <v>33</v>
      </c>
      <c r="D113" s="13" t="s">
        <v>127</v>
      </c>
      <c r="E113" s="12" t="s">
        <v>165</v>
      </c>
      <c r="F113" s="12" t="s">
        <v>169</v>
      </c>
      <c r="G113" s="12" t="s">
        <v>262</v>
      </c>
      <c r="H113" s="12" t="s">
        <v>359</v>
      </c>
      <c r="I113" s="12" t="s">
        <v>33</v>
      </c>
      <c r="J113" s="12" t="s">
        <v>33</v>
      </c>
    </row>
    <row customHeight="1" ht="33" r="114">
      <c r="B114" s="12">
        <f>HYPERLINK("https://gesdoc.uis.edu.co/share/page/folder-details?nodeRef=workspace://SpacesStore/18493fda-14ba-428d-bcb7-07b4c27a5791","2025000294_9701")</f>
      </c>
      <c r="C114" s="12" t="s">
        <v>33</v>
      </c>
      <c r="D114" s="13" t="s">
        <v>127</v>
      </c>
      <c r="E114" s="12" t="s">
        <v>165</v>
      </c>
      <c r="F114" s="12" t="s">
        <v>169</v>
      </c>
      <c r="G114" s="12" t="s">
        <v>263</v>
      </c>
      <c r="H114" s="12" t="s">
        <v>360</v>
      </c>
      <c r="I114" s="12" t="s">
        <v>33</v>
      </c>
      <c r="J114" s="12" t="s">
        <v>33</v>
      </c>
    </row>
    <row customHeight="1" ht="33" r="115">
      <c r="B115" s="12">
        <f>HYPERLINK("https://gesdoc.uis.edu.co/share/page/folder-details?nodeRef=workspace://SpacesStore/0dc19917-c038-4cb2-bcc8-77c20b230a34","2025000232_9702")</f>
      </c>
      <c r="C115" s="12" t="s">
        <v>33</v>
      </c>
      <c r="D115" s="13" t="s">
        <v>127</v>
      </c>
      <c r="E115" s="12" t="s">
        <v>165</v>
      </c>
      <c r="F115" s="12" t="s">
        <v>169</v>
      </c>
      <c r="G115" s="12" t="s">
        <v>264</v>
      </c>
      <c r="H115" s="12" t="s">
        <v>264</v>
      </c>
      <c r="I115" s="12" t="s">
        <v>33</v>
      </c>
      <c r="J115" s="12" t="s">
        <v>33</v>
      </c>
    </row>
    <row customHeight="1" ht="33" r="116">
      <c r="B116" s="12">
        <f>HYPERLINK("https://gesdoc.uis.edu.co/share/page/folder-details?nodeRef=workspace://SpacesStore/e5bad7d5-54c8-4438-ab62-71ca1fa5b564","2025000249_9701")</f>
      </c>
      <c r="C116" s="12" t="s">
        <v>33</v>
      </c>
      <c r="D116" s="13" t="s">
        <v>127</v>
      </c>
      <c r="E116" s="12" t="s">
        <v>165</v>
      </c>
      <c r="F116" s="12" t="s">
        <v>169</v>
      </c>
      <c r="G116" s="12" t="s">
        <v>265</v>
      </c>
      <c r="H116" s="12" t="s">
        <v>361</v>
      </c>
      <c r="I116" s="12" t="s">
        <v>33</v>
      </c>
      <c r="J116" s="12" t="s">
        <v>33</v>
      </c>
    </row>
    <row customHeight="1" ht="33" r="117">
      <c r="B117" s="12">
        <f>HYPERLINK("https://gesdoc.uis.edu.co/share/page/folder-details?nodeRef=workspace://SpacesStore/980a4a06-d57f-46c6-83ae-cf6420e6c4cf","0020_2026000343_7884")</f>
      </c>
      <c r="C117" s="12" t="s">
        <v>102</v>
      </c>
      <c r="D117" s="13" t="s">
        <v>143</v>
      </c>
      <c r="E117" s="12" t="s">
        <v>165</v>
      </c>
      <c r="F117" s="12" t="s">
        <v>167</v>
      </c>
      <c r="G117" s="12" t="s">
        <v>266</v>
      </c>
      <c r="H117" s="12" t="s">
        <v>362</v>
      </c>
      <c r="I117" s="12" t="s">
        <v>33</v>
      </c>
      <c r="J117" s="12" t="s">
        <v>33</v>
      </c>
    </row>
    <row customHeight="1" ht="33" r="118">
      <c r="B118" s="12">
        <f>HYPERLINK("https://gesdoc.uis.edu.co/share/page/folder-details?nodeRef=workspace://SpacesStore/8965bf44-0617-41b0-8f03-fe477e696aeb","2025000487_9701")</f>
      </c>
      <c r="C118" s="12" t="s">
        <v>33</v>
      </c>
      <c r="D118" s="13" t="s">
        <v>127</v>
      </c>
      <c r="E118" s="12" t="s">
        <v>165</v>
      </c>
      <c r="F118" s="12" t="s">
        <v>169</v>
      </c>
      <c r="G118" s="12" t="s">
        <v>267</v>
      </c>
      <c r="H118" s="12" t="s">
        <v>363</v>
      </c>
      <c r="I118" s="12" t="s">
        <v>33</v>
      </c>
      <c r="J118" s="12" t="s">
        <v>33</v>
      </c>
    </row>
    <row customHeight="1" ht="33" r="119">
      <c r="B119" s="12">
        <f>HYPERLINK("https://gesdoc.uis.edu.co/share/page/folder-details?nodeRef=workspace://SpacesStore/577070ab-3177-4171-939c-b86c2f9e7a14","2025000191_9701")</f>
      </c>
      <c r="C119" s="12" t="s">
        <v>33</v>
      </c>
      <c r="D119" s="13" t="s">
        <v>127</v>
      </c>
      <c r="E119" s="12" t="s">
        <v>165</v>
      </c>
      <c r="F119" s="12" t="s">
        <v>169</v>
      </c>
      <c r="G119" s="12" t="s">
        <v>268</v>
      </c>
      <c r="H119" s="12" t="s">
        <v>268</v>
      </c>
      <c r="I119" s="12" t="s">
        <v>33</v>
      </c>
      <c r="J119" s="12" t="s">
        <v>33</v>
      </c>
    </row>
    <row customHeight="1" ht="33" r="120">
      <c r="B120" s="12">
        <f>HYPERLINK("https://gesdoc.uis.edu.co/share/page/folder-details?nodeRef=workspace://SpacesStore/1359c2f7-7f0c-4d24-8e49-d2caacc6dc99","2025000418_9701")</f>
      </c>
      <c r="C120" s="12" t="s">
        <v>33</v>
      </c>
      <c r="D120" s="13" t="s">
        <v>127</v>
      </c>
      <c r="E120" s="12" t="s">
        <v>165</v>
      </c>
      <c r="F120" s="12" t="s">
        <v>169</v>
      </c>
      <c r="G120" s="12" t="s">
        <v>269</v>
      </c>
      <c r="H120" s="12" t="s">
        <v>269</v>
      </c>
      <c r="I120" s="12" t="s">
        <v>33</v>
      </c>
      <c r="J120" s="12" t="s">
        <v>33</v>
      </c>
    </row>
    <row customHeight="1" ht="33" r="121">
      <c r="B121" s="12">
        <f>HYPERLINK("https://gesdoc.uis.edu.co/share/page/folder-details?nodeRef=workspace://SpacesStore/bfe2d873-8da9-4a76-8f90-62bcf3a314fb","2025000086_9708")</f>
      </c>
      <c r="C121" s="12" t="s">
        <v>33</v>
      </c>
      <c r="D121" s="13" t="s">
        <v>127</v>
      </c>
      <c r="E121" s="12" t="s">
        <v>165</v>
      </c>
      <c r="F121" s="12" t="s">
        <v>169</v>
      </c>
      <c r="G121" s="12" t="s">
        <v>270</v>
      </c>
      <c r="H121" s="12" t="s">
        <v>270</v>
      </c>
      <c r="I121" s="12" t="s">
        <v>33</v>
      </c>
      <c r="J121" s="12" t="s">
        <v>33</v>
      </c>
    </row>
    <row customHeight="1" ht="33" r="122">
      <c r="B122" s="12">
        <f>HYPERLINK("https://gesdoc.uis.edu.co/share/page/folder-details?nodeRef=workspace://SpacesStore/e1f93927-2c62-44a3-9638-360f0d7de96e","0018_2026002498_4518")</f>
      </c>
      <c r="C122" s="12" t="s">
        <v>103</v>
      </c>
      <c r="D122" s="13" t="s">
        <v>143</v>
      </c>
      <c r="E122" s="12" t="s">
        <v>165</v>
      </c>
      <c r="F122" s="12" t="s">
        <v>168</v>
      </c>
      <c r="G122" s="12" t="s">
        <v>267</v>
      </c>
      <c r="H122" s="12" t="s">
        <v>364</v>
      </c>
      <c r="I122" s="12" t="s">
        <v>33</v>
      </c>
      <c r="J122" s="12" t="s">
        <v>33</v>
      </c>
    </row>
    <row customHeight="1" ht="33" r="123">
      <c r="B123" s="12">
        <f>HYPERLINK("https://gesdoc.uis.edu.co/share/page/folder-details?nodeRef=workspace://SpacesStore/ad4f5f7f-321a-4ba1-a765-4fcbd8442ce1","2025000276_9701")</f>
      </c>
      <c r="C123" s="12" t="s">
        <v>33</v>
      </c>
      <c r="D123" s="13" t="s">
        <v>127</v>
      </c>
      <c r="E123" s="12" t="s">
        <v>165</v>
      </c>
      <c r="F123" s="12" t="s">
        <v>169</v>
      </c>
      <c r="G123" s="12" t="s">
        <v>271</v>
      </c>
      <c r="H123" s="12" t="s">
        <v>365</v>
      </c>
      <c r="I123" s="12" t="s">
        <v>33</v>
      </c>
      <c r="J123" s="12" t="s">
        <v>33</v>
      </c>
    </row>
    <row customHeight="1" ht="33" r="124">
      <c r="B124" s="12">
        <f>HYPERLINK("https://gesdoc.uis.edu.co/share/page/folder-details?nodeRef=workspace://SpacesStore/5aa2142c-6c73-46f6-a768-54338b931d8e","2025000430_9701")</f>
      </c>
      <c r="C124" s="12" t="s">
        <v>33</v>
      </c>
      <c r="D124" s="13" t="s">
        <v>127</v>
      </c>
      <c r="E124" s="12" t="s">
        <v>165</v>
      </c>
      <c r="F124" s="12" t="s">
        <v>168</v>
      </c>
      <c r="G124" s="12" t="s">
        <v>272</v>
      </c>
      <c r="H124" s="12" t="s">
        <v>272</v>
      </c>
      <c r="I124" s="12" t="s">
        <v>33</v>
      </c>
      <c r="J124" s="12" t="s">
        <v>33</v>
      </c>
    </row>
    <row customHeight="1" ht="33" r="125">
      <c r="B125" s="12">
        <f>HYPERLINK("https://gesdoc.uis.edu.co/share/page/folder-details?nodeRef=workspace://SpacesStore/11be7d6b-e533-43e7-806f-5c8d18dfb834","2025000258_9701")</f>
      </c>
      <c r="C125" s="12" t="s">
        <v>33</v>
      </c>
      <c r="D125" s="13" t="s">
        <v>127</v>
      </c>
      <c r="E125" s="12" t="s">
        <v>165</v>
      </c>
      <c r="F125" s="12" t="s">
        <v>169</v>
      </c>
      <c r="G125" s="12" t="s">
        <v>273</v>
      </c>
      <c r="H125" s="12" t="s">
        <v>366</v>
      </c>
      <c r="I125" s="12" t="s">
        <v>33</v>
      </c>
      <c r="J125" s="12" t="s">
        <v>33</v>
      </c>
    </row>
    <row customHeight="1" ht="33" r="126">
      <c r="B126" s="12">
        <f>HYPERLINK("https://gesdoc.uis.edu.co/share/page/folder-details?nodeRef=workspace://SpacesStore/06fda002-30cc-4b61-aaf9-5680dfdbe9ca","0018_2026002520_7233")</f>
      </c>
      <c r="C126" s="12" t="s">
        <v>104</v>
      </c>
      <c r="D126" s="13" t="s">
        <v>126</v>
      </c>
      <c r="E126" s="12" t="s">
        <v>165</v>
      </c>
      <c r="F126" s="12" t="s">
        <v>168</v>
      </c>
      <c r="G126" s="12" t="s">
        <v>274</v>
      </c>
      <c r="H126" s="12" t="s">
        <v>274</v>
      </c>
      <c r="I126" s="12" t="s">
        <v>33</v>
      </c>
      <c r="J126" s="12" t="s">
        <v>33</v>
      </c>
    </row>
    <row customHeight="1" ht="33" r="127">
      <c r="B127" s="12">
        <f>HYPERLINK("https://gesdoc.uis.edu.co/share/page/folder-details?nodeRef=workspace://SpacesStore/fda4bb12-d3f8-47a9-8a97-ca8cd3fd28b6","0018_2026002488_9109")</f>
      </c>
      <c r="C127" s="12" t="s">
        <v>105</v>
      </c>
      <c r="D127" s="13" t="s">
        <v>149</v>
      </c>
      <c r="E127" s="12" t="s">
        <v>165</v>
      </c>
      <c r="F127" s="12" t="s">
        <v>168</v>
      </c>
      <c r="G127" s="12" t="s">
        <v>275</v>
      </c>
      <c r="H127" s="12" t="s">
        <v>275</v>
      </c>
      <c r="I127" s="12" t="s">
        <v>33</v>
      </c>
      <c r="J127" s="12" t="s">
        <v>33</v>
      </c>
    </row>
    <row customHeight="1" ht="33" r="128">
      <c r="B128" s="12">
        <f>HYPERLINK("https://gesdoc.uis.edu.co/share/page/folder-details?nodeRef=workspace://SpacesStore/d0aeecce-cce7-4d5e-8c2e-058a6bca0413","2025000223_9702")</f>
      </c>
      <c r="C128" s="12" t="s">
        <v>33</v>
      </c>
      <c r="D128" s="13" t="s">
        <v>127</v>
      </c>
      <c r="E128" s="12" t="s">
        <v>165</v>
      </c>
      <c r="F128" s="12" t="s">
        <v>169</v>
      </c>
      <c r="G128" s="12" t="s">
        <v>276</v>
      </c>
      <c r="H128" s="12" t="s">
        <v>367</v>
      </c>
      <c r="I128" s="12" t="s">
        <v>33</v>
      </c>
      <c r="J128" s="12" t="s">
        <v>33</v>
      </c>
    </row>
    <row customHeight="1" ht="33" r="129">
      <c r="B129" s="12">
        <f>HYPERLINK("https://gesdoc.uis.edu.co/share/page/folder-details?nodeRef=workspace://SpacesStore/6dba86c6-de55-4e8d-bc85-a09af9028241","0270_2026000748_3160")</f>
      </c>
      <c r="C129" s="12" t="s">
        <v>106</v>
      </c>
      <c r="D129" s="13" t="s">
        <v>146</v>
      </c>
      <c r="E129" s="12" t="s">
        <v>165</v>
      </c>
      <c r="F129" s="12" t="s">
        <v>167</v>
      </c>
      <c r="G129" s="12" t="s">
        <v>231</v>
      </c>
      <c r="H129" s="12" t="s">
        <v>368</v>
      </c>
      <c r="I129" s="12" t="s">
        <v>33</v>
      </c>
      <c r="J129" s="12" t="s">
        <v>33</v>
      </c>
    </row>
    <row customHeight="1" ht="33" r="130">
      <c r="B130" s="12">
        <f>HYPERLINK("https://gesdoc.uis.edu.co/share/page/folder-details?nodeRef=workspace://SpacesStore/e83bc711-8d01-4ff4-9b90-3d5a8d6033c7","2025000233_9702")</f>
      </c>
      <c r="C130" s="12" t="s">
        <v>33</v>
      </c>
      <c r="D130" s="13" t="s">
        <v>127</v>
      </c>
      <c r="E130" s="12" t="s">
        <v>165</v>
      </c>
      <c r="F130" s="12" t="s">
        <v>169</v>
      </c>
      <c r="G130" s="12" t="s">
        <v>277</v>
      </c>
      <c r="H130" s="12" t="s">
        <v>369</v>
      </c>
      <c r="I130" s="12" t="s">
        <v>33</v>
      </c>
      <c r="J130" s="12" t="s">
        <v>33</v>
      </c>
    </row>
    <row customHeight="1" ht="33" r="131">
      <c r="B131" s="12">
        <f>HYPERLINK("https://gesdoc.uis.edu.co/share/page/folder-details?nodeRef=workspace://SpacesStore/f8b41151-360b-4155-9f07-3182c5f3e6b9","2025000227_9702")</f>
      </c>
      <c r="C131" s="12" t="s">
        <v>33</v>
      </c>
      <c r="D131" s="13" t="s">
        <v>127</v>
      </c>
      <c r="E131" s="12" t="s">
        <v>165</v>
      </c>
      <c r="F131" s="12" t="s">
        <v>169</v>
      </c>
      <c r="G131" s="12" t="s">
        <v>278</v>
      </c>
      <c r="H131" s="12" t="s">
        <v>278</v>
      </c>
      <c r="I131" s="12" t="s">
        <v>33</v>
      </c>
      <c r="J131" s="12" t="s">
        <v>33</v>
      </c>
    </row>
    <row customHeight="1" ht="33" r="132">
      <c r="B132" s="12">
        <f>HYPERLINK("https://gesdoc.uis.edu.co/share/page/folder-details?nodeRef=workspace://SpacesStore/e6f8148a-5d08-4c70-908a-8665562f2c29","0018_2026002494_3140")</f>
      </c>
      <c r="C132" s="12" t="s">
        <v>107</v>
      </c>
      <c r="D132" s="13" t="s">
        <v>145</v>
      </c>
      <c r="E132" s="12" t="s">
        <v>165</v>
      </c>
      <c r="F132" s="12" t="s">
        <v>168</v>
      </c>
      <c r="G132" s="12" t="s">
        <v>279</v>
      </c>
      <c r="H132" s="12" t="s">
        <v>278</v>
      </c>
      <c r="I132" s="12" t="s">
        <v>33</v>
      </c>
      <c r="J132" s="12" t="s">
        <v>33</v>
      </c>
    </row>
    <row customHeight="1" ht="33" r="133">
      <c r="B133" s="12">
        <f>HYPERLINK("https://gesdoc.uis.edu.co/share/page/folder-details?nodeRef=workspace://SpacesStore/e8e8d370-5004-406c-93b2-5cff6f17b0bc","18_2026002518")</f>
      </c>
      <c r="C133" s="12" t="s">
        <v>33</v>
      </c>
      <c r="D133" s="13" t="s">
        <v>133</v>
      </c>
      <c r="E133" s="12" t="s">
        <v>165</v>
      </c>
      <c r="F133" s="12" t="s">
        <v>168</v>
      </c>
      <c r="G133" s="12" t="s">
        <v>280</v>
      </c>
      <c r="H133" s="12" t="s">
        <v>280</v>
      </c>
      <c r="I133" s="12" t="s">
        <v>33</v>
      </c>
      <c r="J133" s="12" t="s">
        <v>33</v>
      </c>
    </row>
    <row customHeight="1" ht="33" r="134">
      <c r="B134" s="12">
        <f>HYPERLINK("https://gesdoc.uis.edu.co/share/page/folder-details?nodeRef=workspace://SpacesStore/b4011435-869d-46a1-8dc5-481666db4442","2025000286_9701")</f>
      </c>
      <c r="C134" s="12" t="s">
        <v>33</v>
      </c>
      <c r="D134" s="13" t="s">
        <v>127</v>
      </c>
      <c r="E134" s="12" t="s">
        <v>165</v>
      </c>
      <c r="F134" s="12" t="s">
        <v>169</v>
      </c>
      <c r="G134" s="12" t="s">
        <v>281</v>
      </c>
      <c r="H134" s="12" t="s">
        <v>281</v>
      </c>
      <c r="I134" s="12" t="s">
        <v>33</v>
      </c>
      <c r="J134" s="12" t="s">
        <v>33</v>
      </c>
    </row>
    <row customHeight="1" ht="33" r="135">
      <c r="B135" s="12">
        <f>HYPERLINK("https://gesdoc.uis.edu.co/share/page/folder-details?nodeRef=workspace://SpacesStore/319f29b3-d359-4a2e-b1d1-22217c81fb23","0018_2026002844_9109")</f>
      </c>
      <c r="C135" s="12" t="s">
        <v>108</v>
      </c>
      <c r="D135" s="13" t="s">
        <v>149</v>
      </c>
      <c r="E135" s="12" t="s">
        <v>165</v>
      </c>
      <c r="F135" s="12" t="s">
        <v>168</v>
      </c>
      <c r="G135" s="12" t="s">
        <v>282</v>
      </c>
      <c r="H135" s="12" t="s">
        <v>282</v>
      </c>
      <c r="I135" s="12" t="s">
        <v>33</v>
      </c>
      <c r="J135" s="12" t="s">
        <v>33</v>
      </c>
    </row>
    <row customHeight="1" ht="33" r="136">
      <c r="B136" s="12">
        <f>HYPERLINK("https://gesdoc.uis.edu.co/share/page/folder-details?nodeRef=workspace://SpacesStore/b87f7f5b-016f-4684-86cb-0aee6e37bb5d","2025000458_9701")</f>
      </c>
      <c r="C136" s="12" t="s">
        <v>33</v>
      </c>
      <c r="D136" s="13" t="s">
        <v>127</v>
      </c>
      <c r="E136" s="12" t="s">
        <v>165</v>
      </c>
      <c r="F136" s="12" t="s">
        <v>169</v>
      </c>
      <c r="G136" s="12" t="s">
        <v>283</v>
      </c>
      <c r="H136" s="12" t="s">
        <v>283</v>
      </c>
      <c r="I136" s="12" t="s">
        <v>33</v>
      </c>
      <c r="J136" s="12" t="s">
        <v>33</v>
      </c>
    </row>
    <row customHeight="1" ht="33" r="137">
      <c r="B137" s="12">
        <f>HYPERLINK("https://gesdoc.uis.edu.co/share/page/folder-details?nodeRef=workspace://SpacesStore/2f8b61e6-6e8c-4594-b416-a4bde941e921","2025000391_9701")</f>
      </c>
      <c r="C137" s="12" t="s">
        <v>33</v>
      </c>
      <c r="D137" s="13" t="s">
        <v>127</v>
      </c>
      <c r="E137" s="12" t="s">
        <v>165</v>
      </c>
      <c r="F137" s="12" t="s">
        <v>169</v>
      </c>
      <c r="G137" s="12" t="s">
        <v>284</v>
      </c>
      <c r="H137" s="12" t="s">
        <v>284</v>
      </c>
      <c r="I137" s="12" t="s">
        <v>33</v>
      </c>
      <c r="J137" s="12" t="s">
        <v>33</v>
      </c>
    </row>
    <row customHeight="1" ht="33" r="138">
      <c r="B138" s="12">
        <f>HYPERLINK("https://gesdoc.uis.edu.co/share/page/folder-details?nodeRef=workspace://SpacesStore/2c199855-caba-4fe2-9052-7b4a9f615a0d","2025000318_9701")</f>
      </c>
      <c r="C138" s="12" t="s">
        <v>33</v>
      </c>
      <c r="D138" s="13" t="s">
        <v>127</v>
      </c>
      <c r="E138" s="12" t="s">
        <v>165</v>
      </c>
      <c r="F138" s="12" t="s">
        <v>169</v>
      </c>
      <c r="G138" s="12" t="s">
        <v>285</v>
      </c>
      <c r="H138" s="12" t="s">
        <v>285</v>
      </c>
      <c r="I138" s="12" t="s">
        <v>33</v>
      </c>
      <c r="J138" s="12" t="s">
        <v>33</v>
      </c>
    </row>
    <row customHeight="1" ht="33" r="139">
      <c r="B139" s="12">
        <f>HYPERLINK("https://gesdoc.uis.edu.co/share/page/folder-details?nodeRef=workspace://SpacesStore/07e30ce6-2274-41b0-aaf4-512a4d8292dc","0020_2026000319_7038")</f>
      </c>
      <c r="C139" s="12" t="s">
        <v>109</v>
      </c>
      <c r="D139" s="13" t="s">
        <v>161</v>
      </c>
      <c r="E139" s="12" t="s">
        <v>165</v>
      </c>
      <c r="F139" s="12" t="s">
        <v>167</v>
      </c>
      <c r="G139" s="12" t="s">
        <v>286</v>
      </c>
      <c r="H139" s="12" t="s">
        <v>370</v>
      </c>
      <c r="I139" s="12" t="s">
        <v>33</v>
      </c>
      <c r="J139" s="12" t="s">
        <v>33</v>
      </c>
    </row>
    <row customHeight="1" ht="33" r="140">
      <c r="B140" s="12">
        <f>HYPERLINK("https://gesdoc.uis.edu.co/share/page/folder-details?nodeRef=workspace://SpacesStore/383abeed-f34c-4d3a-8a02-3b24650e2c6d","0004_2026002521_6869")</f>
      </c>
      <c r="C140" s="12" t="s">
        <v>110</v>
      </c>
      <c r="D140" s="13" t="s">
        <v>160</v>
      </c>
      <c r="E140" s="12" t="s">
        <v>165</v>
      </c>
      <c r="F140" s="12" t="s">
        <v>168</v>
      </c>
      <c r="G140" s="12" t="s">
        <v>287</v>
      </c>
      <c r="H140" s="12" t="s">
        <v>371</v>
      </c>
      <c r="I140" s="12" t="s">
        <v>33</v>
      </c>
      <c r="J140" s="12" t="s">
        <v>33</v>
      </c>
    </row>
    <row customHeight="1" ht="33" r="141">
      <c r="B141" s="12">
        <f>HYPERLINK("https://gesdoc.uis.edu.co/share/page/folder-details?nodeRef=workspace://SpacesStore/137d2391-15fc-4fca-b247-9d7d083bce00","2025000514_9702")</f>
      </c>
      <c r="C141" s="12" t="s">
        <v>33</v>
      </c>
      <c r="D141" s="13" t="s">
        <v>127</v>
      </c>
      <c r="E141" s="12" t="s">
        <v>165</v>
      </c>
      <c r="F141" s="12" t="s">
        <v>169</v>
      </c>
      <c r="G141" s="12" t="s">
        <v>288</v>
      </c>
      <c r="H141" s="12" t="s">
        <v>288</v>
      </c>
      <c r="I141" s="12" t="s">
        <v>33</v>
      </c>
      <c r="J141" s="12" t="s">
        <v>33</v>
      </c>
    </row>
    <row customHeight="1" ht="33" r="142">
      <c r="B142" s="12">
        <f>HYPERLINK("https://gesdoc.uis.edu.co/share/page/folder-details?nodeRef=workspace://SpacesStore/6face84c-bd05-47d5-a7ea-46560fbf29bd","2025000505_9702")</f>
      </c>
      <c r="C142" s="12" t="s">
        <v>33</v>
      </c>
      <c r="D142" s="13" t="s">
        <v>127</v>
      </c>
      <c r="E142" s="12" t="s">
        <v>165</v>
      </c>
      <c r="F142" s="12" t="s">
        <v>169</v>
      </c>
      <c r="G142" s="12" t="s">
        <v>288</v>
      </c>
      <c r="H142" s="12" t="s">
        <v>288</v>
      </c>
      <c r="I142" s="12" t="s">
        <v>33</v>
      </c>
      <c r="J142" s="12" t="s">
        <v>33</v>
      </c>
    </row>
    <row customHeight="1" ht="33" r="143">
      <c r="B143" s="12">
        <f>HYPERLINK("https://gesdoc.uis.edu.co/share/page/folder-details?nodeRef=workspace://SpacesStore/4371bd20-83ae-43eb-a6f4-2eb75a000671","2025000502_9701")</f>
      </c>
      <c r="C143" s="12" t="s">
        <v>33</v>
      </c>
      <c r="D143" s="13" t="s">
        <v>127</v>
      </c>
      <c r="E143" s="12" t="s">
        <v>165</v>
      </c>
      <c r="F143" s="12" t="s">
        <v>169</v>
      </c>
      <c r="G143" s="12" t="s">
        <v>289</v>
      </c>
      <c r="H143" s="12" t="s">
        <v>289</v>
      </c>
      <c r="I143" s="12" t="s">
        <v>33</v>
      </c>
      <c r="J143" s="12" t="s">
        <v>33</v>
      </c>
    </row>
    <row customHeight="1" ht="33" r="144">
      <c r="B144" s="12">
        <f>HYPERLINK("https://gesdoc.uis.edu.co/share/page/folder-details?nodeRef=workspace://SpacesStore/fca8cf4b-93e5-4db7-a5f1-393e61569774","2025000316_9707")</f>
      </c>
      <c r="C144" s="12" t="s">
        <v>33</v>
      </c>
      <c r="D144" s="13" t="s">
        <v>127</v>
      </c>
      <c r="E144" s="12" t="s">
        <v>165</v>
      </c>
      <c r="F144" s="12" t="s">
        <v>169</v>
      </c>
      <c r="G144" s="12" t="s">
        <v>290</v>
      </c>
      <c r="H144" s="12" t="s">
        <v>290</v>
      </c>
      <c r="I144" s="12" t="s">
        <v>33</v>
      </c>
      <c r="J144" s="12" t="s">
        <v>33</v>
      </c>
    </row>
    <row customHeight="1" ht="33" r="145">
      <c r="B145" s="12">
        <f>HYPERLINK("https://gesdoc.uis.edu.co/share/page/folder-details?nodeRef=workspace://SpacesStore/5a809a32-74cc-4597-8969-99e2e01e193c","2025000066_9708")</f>
      </c>
      <c r="C145" s="12" t="s">
        <v>33</v>
      </c>
      <c r="D145" s="13" t="s">
        <v>127</v>
      </c>
      <c r="E145" s="12" t="s">
        <v>165</v>
      </c>
      <c r="F145" s="12" t="s">
        <v>169</v>
      </c>
      <c r="G145" s="12" t="s">
        <v>270</v>
      </c>
      <c r="H145" s="12" t="s">
        <v>270</v>
      </c>
      <c r="I145" s="12" t="s">
        <v>33</v>
      </c>
      <c r="J145" s="12" t="s">
        <v>33</v>
      </c>
    </row>
    <row customHeight="1" ht="33" r="146">
      <c r="B146" s="12">
        <f>HYPERLINK("https://gesdoc.uis.edu.co/share/page/folder-details?nodeRef=workspace://SpacesStore/7e1dedee-cd2e-45ac-8db4-5970d6a8982d","2025000062_9702")</f>
      </c>
      <c r="C146" s="12" t="s">
        <v>33</v>
      </c>
      <c r="D146" s="13" t="s">
        <v>127</v>
      </c>
      <c r="E146" s="12" t="s">
        <v>165</v>
      </c>
      <c r="F146" s="12" t="s">
        <v>169</v>
      </c>
      <c r="G146" s="12" t="s">
        <v>291</v>
      </c>
      <c r="H146" s="12" t="s">
        <v>291</v>
      </c>
      <c r="I146" s="12" t="s">
        <v>33</v>
      </c>
      <c r="J146" s="12" t="s">
        <v>33</v>
      </c>
    </row>
    <row customHeight="1" ht="33" r="147">
      <c r="B147" s="12">
        <f>HYPERLINK("https://gesdoc.uis.edu.co/share/page/folder-details?nodeRef=workspace://SpacesStore/eade3ed8-ae76-486e-8110-7b6c477a9e97","0270_2026000738_6820")</f>
      </c>
      <c r="C147" s="12" t="s">
        <v>111</v>
      </c>
      <c r="D147" s="13" t="s">
        <v>137</v>
      </c>
      <c r="E147" s="12" t="s">
        <v>165</v>
      </c>
      <c r="F147" s="12" t="s">
        <v>175</v>
      </c>
      <c r="G147" s="12" t="s">
        <v>292</v>
      </c>
      <c r="H147" s="12" t="s">
        <v>372</v>
      </c>
      <c r="I147" s="12" t="s">
        <v>33</v>
      </c>
      <c r="J147" s="12" t="s">
        <v>33</v>
      </c>
    </row>
    <row customHeight="1" ht="33" r="148">
      <c r="B148" s="12">
        <f>HYPERLINK("https://gesdoc.uis.edu.co/share/page/folder-details?nodeRef=workspace://SpacesStore/3bc2ba51-42b3-4a75-adb3-b87b3830cbf0","2025000304_9701")</f>
      </c>
      <c r="C148" s="12" t="s">
        <v>33</v>
      </c>
      <c r="D148" s="13" t="s">
        <v>127</v>
      </c>
      <c r="E148" s="12" t="s">
        <v>165</v>
      </c>
      <c r="F148" s="12" t="s">
        <v>169</v>
      </c>
      <c r="G148" s="12" t="s">
        <v>293</v>
      </c>
      <c r="H148" s="12" t="s">
        <v>293</v>
      </c>
      <c r="I148" s="12" t="s">
        <v>33</v>
      </c>
      <c r="J148" s="12" t="s">
        <v>33</v>
      </c>
    </row>
    <row customHeight="1" ht="33" r="149">
      <c r="B149" s="12">
        <f>HYPERLINK("https://gesdoc.uis.edu.co/share/page/folder-details?nodeRef=workspace://SpacesStore/a283410c-4291-424c-9957-c6f9a8dfc44a","2025000290_9701")</f>
      </c>
      <c r="C149" s="12" t="s">
        <v>33</v>
      </c>
      <c r="D149" s="13" t="s">
        <v>127</v>
      </c>
      <c r="E149" s="12" t="s">
        <v>165</v>
      </c>
      <c r="F149" s="12" t="s">
        <v>169</v>
      </c>
      <c r="G149" s="12" t="s">
        <v>294</v>
      </c>
      <c r="H149" s="12" t="s">
        <v>373</v>
      </c>
      <c r="I149" s="12" t="s">
        <v>33</v>
      </c>
      <c r="J149" s="12" t="s">
        <v>33</v>
      </c>
    </row>
    <row customHeight="1" ht="33" r="150">
      <c r="B150" s="12">
        <f>HYPERLINK("https://gesdoc.uis.edu.co/share/page/folder-details?nodeRef=workspace://SpacesStore/cda93ada-1ee5-41da-895d-af934ae6b1d1","2025000496_9702")</f>
      </c>
      <c r="C150" s="12" t="s">
        <v>33</v>
      </c>
      <c r="D150" s="13" t="s">
        <v>127</v>
      </c>
      <c r="E150" s="12" t="s">
        <v>165</v>
      </c>
      <c r="F150" s="12" t="s">
        <v>169</v>
      </c>
      <c r="G150" s="12" t="s">
        <v>295</v>
      </c>
      <c r="H150" s="12" t="s">
        <v>289</v>
      </c>
      <c r="I150" s="12" t="s">
        <v>33</v>
      </c>
      <c r="J150" s="12" t="s">
        <v>33</v>
      </c>
    </row>
    <row customHeight="1" ht="33" r="151">
      <c r="B151" s="12">
        <f>HYPERLINK("https://gesdoc.uis.edu.co/share/page/folder-details?nodeRef=workspace://SpacesStore/29b15500-bf06-4cea-929f-e91e4c89de9c","2025000490_9702")</f>
      </c>
      <c r="C151" s="12" t="s">
        <v>33</v>
      </c>
      <c r="D151" s="13" t="s">
        <v>127</v>
      </c>
      <c r="E151" s="12" t="s">
        <v>165</v>
      </c>
      <c r="F151" s="12" t="s">
        <v>169</v>
      </c>
      <c r="G151" s="12" t="s">
        <v>296</v>
      </c>
      <c r="H151" s="12" t="s">
        <v>296</v>
      </c>
      <c r="I151" s="12" t="s">
        <v>33</v>
      </c>
      <c r="J151" s="12" t="s">
        <v>33</v>
      </c>
    </row>
    <row customHeight="1" ht="33" r="152">
      <c r="B152" s="12">
        <f>HYPERLINK("https://gesdoc.uis.edu.co/share/page/folder-details?nodeRef=workspace://SpacesStore/34785553-85d0-44ce-98a2-91812daddff5","2025000492_9702")</f>
      </c>
      <c r="C152" s="12" t="s">
        <v>33</v>
      </c>
      <c r="D152" s="13" t="s">
        <v>127</v>
      </c>
      <c r="E152" s="12" t="s">
        <v>165</v>
      </c>
      <c r="F152" s="12" t="s">
        <v>169</v>
      </c>
      <c r="G152" s="12" t="s">
        <v>296</v>
      </c>
      <c r="H152" s="12" t="s">
        <v>295</v>
      </c>
      <c r="I152" s="12" t="s">
        <v>33</v>
      </c>
      <c r="J152" s="12" t="s">
        <v>33</v>
      </c>
    </row>
    <row customHeight="1" ht="33" r="153">
      <c r="B153" s="12">
        <f>HYPERLINK("https://gesdoc.uis.edu.co/share/page/folder-details?nodeRef=workspace://SpacesStore/03096728-e01e-4f14-abfb-eb98a3c1052d","2025000183_9707")</f>
      </c>
      <c r="C153" s="12" t="s">
        <v>33</v>
      </c>
      <c r="D153" s="13" t="s">
        <v>127</v>
      </c>
      <c r="E153" s="12" t="s">
        <v>165</v>
      </c>
      <c r="F153" s="12" t="s">
        <v>169</v>
      </c>
      <c r="G153" s="12" t="s">
        <v>297</v>
      </c>
      <c r="H153" s="12" t="s">
        <v>297</v>
      </c>
      <c r="I153" s="12" t="s">
        <v>33</v>
      </c>
      <c r="J153" s="12" t="s">
        <v>33</v>
      </c>
    </row>
    <row customHeight="1" ht="33" r="154">
      <c r="B154" s="12">
        <f>HYPERLINK("https://gesdoc.uis.edu.co/share/page/folder-details?nodeRef=workspace://SpacesStore/f8c43d7b-c86d-420a-9db8-d150b91ef5e8","2025000317_9707")</f>
      </c>
      <c r="C154" s="12" t="s">
        <v>33</v>
      </c>
      <c r="D154" s="13" t="s">
        <v>127</v>
      </c>
      <c r="E154" s="12" t="s">
        <v>165</v>
      </c>
      <c r="F154" s="12" t="s">
        <v>169</v>
      </c>
      <c r="G154" s="12" t="s">
        <v>297</v>
      </c>
      <c r="H154" s="12" t="s">
        <v>297</v>
      </c>
      <c r="I154" s="12" t="s">
        <v>33</v>
      </c>
      <c r="J154" s="12" t="s">
        <v>33</v>
      </c>
    </row>
    <row customHeight="1" ht="33" r="155">
      <c r="B155" s="12">
        <f>HYPERLINK("https://gesdoc.uis.edu.co/share/page/folder-details?nodeRef=workspace://SpacesStore/38ce5a31-9152-429a-97fa-49369c1a988a","0018_2026002519_7233")</f>
      </c>
      <c r="C155" s="12" t="s">
        <v>112</v>
      </c>
      <c r="D155" s="13" t="s">
        <v>126</v>
      </c>
      <c r="E155" s="12" t="s">
        <v>165</v>
      </c>
      <c r="F155" s="12" t="s">
        <v>168</v>
      </c>
      <c r="G155" s="12" t="s">
        <v>298</v>
      </c>
      <c r="H155" s="12" t="s">
        <v>374</v>
      </c>
      <c r="I155" s="12" t="s">
        <v>33</v>
      </c>
      <c r="J155" s="12" t="s">
        <v>33</v>
      </c>
    </row>
    <row customHeight="1" ht="33" r="156">
      <c r="B156" s="12">
        <f>HYPERLINK("https://gesdoc.uis.edu.co/share/page/folder-details?nodeRef=workspace://SpacesStore/cc84d17e-cf8b-48e1-b3e0-e879afb6993b","2025000371_9701")</f>
      </c>
      <c r="C156" s="12" t="s">
        <v>33</v>
      </c>
      <c r="D156" s="13" t="s">
        <v>127</v>
      </c>
      <c r="E156" s="12" t="s">
        <v>165</v>
      </c>
      <c r="F156" s="12" t="s">
        <v>169</v>
      </c>
      <c r="G156" s="12" t="s">
        <v>299</v>
      </c>
      <c r="H156" s="12" t="s">
        <v>284</v>
      </c>
      <c r="I156" s="12" t="s">
        <v>33</v>
      </c>
      <c r="J156" s="12" t="s">
        <v>33</v>
      </c>
    </row>
    <row customHeight="1" ht="33" r="157">
      <c r="B157" s="12">
        <f>HYPERLINK("https://gesdoc.uis.edu.co/share/page/folder-details?nodeRef=workspace://SpacesStore/a30e34cd-b3a5-4564-9788-ca4a0232a559","2025000462_9702")</f>
      </c>
      <c r="C157" s="12" t="s">
        <v>33</v>
      </c>
      <c r="D157" s="13" t="s">
        <v>127</v>
      </c>
      <c r="E157" s="12" t="s">
        <v>165</v>
      </c>
      <c r="F157" s="12" t="s">
        <v>169</v>
      </c>
      <c r="G157" s="12" t="s">
        <v>300</v>
      </c>
      <c r="H157" s="12" t="s">
        <v>300</v>
      </c>
      <c r="I157" s="12" t="s">
        <v>33</v>
      </c>
      <c r="J157" s="12" t="s">
        <v>33</v>
      </c>
    </row>
    <row customHeight="1" ht="33" r="158">
      <c r="B158" s="12">
        <f>HYPERLINK("https://gesdoc.uis.edu.co/share/page/folder-details?nodeRef=workspace://SpacesStore/02bb2562-231a-4bb5-8d7d-ee6c2aa030f7","2025000463_9702")</f>
      </c>
      <c r="C158" s="12" t="s">
        <v>33</v>
      </c>
      <c r="D158" s="13" t="s">
        <v>127</v>
      </c>
      <c r="E158" s="12" t="s">
        <v>165</v>
      </c>
      <c r="F158" s="12" t="s">
        <v>169</v>
      </c>
      <c r="G158" s="12" t="s">
        <v>300</v>
      </c>
      <c r="H158" s="12" t="s">
        <v>296</v>
      </c>
      <c r="I158" s="12" t="s">
        <v>33</v>
      </c>
      <c r="J158" s="12" t="s">
        <v>33</v>
      </c>
    </row>
    <row customHeight="1" ht="33" r="159">
      <c r="B159" s="12">
        <f>HYPERLINK("https://gesdoc.uis.edu.co/share/page/folder-details?nodeRef=workspace://SpacesStore/2848ee3e-6b10-42c3-89e6-13b2ae2bd838","2025000022_9701_9703")</f>
      </c>
      <c r="C159" s="12" t="s">
        <v>33</v>
      </c>
      <c r="D159" s="13" t="s">
        <v>127</v>
      </c>
      <c r="E159" s="12" t="s">
        <v>165</v>
      </c>
      <c r="F159" s="12" t="s">
        <v>169</v>
      </c>
      <c r="G159" s="12" t="s">
        <v>301</v>
      </c>
      <c r="H159" s="12" t="s">
        <v>375</v>
      </c>
      <c r="I159" s="12" t="s">
        <v>33</v>
      </c>
      <c r="J159" s="12" t="s">
        <v>33</v>
      </c>
    </row>
    <row customHeight="1" ht="33" r="160">
      <c r="B160" s="12">
        <f>HYPERLINK("https://gesdoc.uis.edu.co/share/page/folder-details?nodeRef=workspace://SpacesStore/99eb9add-0ff8-4a7c-afb6-8168d6097d5c","0020_2026000371_4518")</f>
      </c>
      <c r="C160" s="12" t="s">
        <v>113</v>
      </c>
      <c r="D160" s="13" t="s">
        <v>143</v>
      </c>
      <c r="E160" s="12" t="s">
        <v>165</v>
      </c>
      <c r="F160" s="12" t="s">
        <v>167</v>
      </c>
      <c r="G160" s="12" t="s">
        <v>302</v>
      </c>
      <c r="H160" s="12" t="s">
        <v>304</v>
      </c>
      <c r="I160" s="12" t="s">
        <v>33</v>
      </c>
      <c r="J160" s="12" t="s">
        <v>33</v>
      </c>
    </row>
    <row customHeight="1" ht="33" r="161">
      <c r="B161" s="12">
        <f>HYPERLINK("https://gesdoc.uis.edu.co/share/page/folder-details?nodeRef=workspace://SpacesStore/f7c5c27a-ecfd-4f82-8b11-dbbcb5ddc22f","0270_2026000614_3190")</f>
      </c>
      <c r="C161" s="12" t="s">
        <v>114</v>
      </c>
      <c r="D161" s="13" t="s">
        <v>136</v>
      </c>
      <c r="E161" s="12" t="s">
        <v>165</v>
      </c>
      <c r="F161" s="12" t="s">
        <v>167</v>
      </c>
      <c r="G161" s="12" t="s">
        <v>303</v>
      </c>
      <c r="H161" s="12" t="s">
        <v>376</v>
      </c>
      <c r="I161" s="12" t="s">
        <v>33</v>
      </c>
      <c r="J161" s="12" t="s">
        <v>33</v>
      </c>
    </row>
    <row customHeight="1" ht="33" r="162">
      <c r="B162" s="12">
        <f>HYPERLINK("https://gesdoc.uis.edu.co/share/page/folder-details?nodeRef=workspace://SpacesStore/7e7616c4-ade7-4f81-8b81-a4848fce2c52","2025000395_9701")</f>
      </c>
      <c r="C162" s="12" t="s">
        <v>33</v>
      </c>
      <c r="D162" s="13" t="s">
        <v>127</v>
      </c>
      <c r="E162" s="12" t="s">
        <v>165</v>
      </c>
      <c r="F162" s="12" t="s">
        <v>169</v>
      </c>
      <c r="G162" s="12" t="s">
        <v>304</v>
      </c>
      <c r="H162" s="12" t="s">
        <v>304</v>
      </c>
      <c r="I162" s="12" t="s">
        <v>33</v>
      </c>
      <c r="J162" s="12" t="s">
        <v>33</v>
      </c>
    </row>
    <row customHeight="1" ht="33" r="163">
      <c r="B163" s="12">
        <f>HYPERLINK("https://gesdoc.uis.edu.co/share/page/folder-details?nodeRef=workspace://SpacesStore/18d42209-5a0a-465b-b383-abce3109cfd6","0020_2026000363_7077")</f>
      </c>
      <c r="C163" s="12" t="s">
        <v>115</v>
      </c>
      <c r="D163" s="13" t="s">
        <v>162</v>
      </c>
      <c r="E163" s="12" t="s">
        <v>165</v>
      </c>
      <c r="F163" s="12" t="s">
        <v>167</v>
      </c>
      <c r="G163" s="12" t="s">
        <v>305</v>
      </c>
      <c r="H163" s="12" t="s">
        <v>305</v>
      </c>
      <c r="I163" s="12" t="s">
        <v>33</v>
      </c>
      <c r="J163" s="12" t="s">
        <v>33</v>
      </c>
    </row>
    <row customHeight="1" ht="33" r="164">
      <c r="B164" s="12">
        <f>HYPERLINK("https://gesdoc.uis.edu.co/share/page/folder-details?nodeRef=workspace://SpacesStore/8f834a7a-dbe8-42e7-b8b8-ebbe1efeb02c","0018_2026002337_4722")</f>
      </c>
      <c r="C164" s="12" t="s">
        <v>116</v>
      </c>
      <c r="D164" s="13" t="s">
        <v>143</v>
      </c>
      <c r="E164" s="12" t="s">
        <v>165</v>
      </c>
      <c r="F164" s="12" t="s">
        <v>168</v>
      </c>
      <c r="G164" s="12" t="s">
        <v>306</v>
      </c>
      <c r="H164" s="12" t="s">
        <v>377</v>
      </c>
      <c r="I164" s="12" t="s">
        <v>33</v>
      </c>
      <c r="J164" s="12" t="s">
        <v>33</v>
      </c>
    </row>
    <row customHeight="1" ht="33" r="165">
      <c r="B165" s="12">
        <f>HYPERLINK("https://gesdoc.uis.edu.co/share/page/folder-details?nodeRef=workspace://SpacesStore/bff11413-e39d-4fdb-93b2-29c0592284b2","2025000331_9701")</f>
      </c>
      <c r="C165" s="12" t="s">
        <v>33</v>
      </c>
      <c r="D165" s="13" t="s">
        <v>127</v>
      </c>
      <c r="E165" s="12" t="s">
        <v>165</v>
      </c>
      <c r="F165" s="12" t="s">
        <v>169</v>
      </c>
      <c r="G165" s="12" t="s">
        <v>307</v>
      </c>
      <c r="H165" s="12" t="s">
        <v>377</v>
      </c>
      <c r="I165" s="12" t="s">
        <v>33</v>
      </c>
      <c r="J165" s="12" t="s">
        <v>33</v>
      </c>
    </row>
    <row customHeight="1" ht="33" r="166">
      <c r="B166" s="12">
        <f>HYPERLINK("https://gesdoc.uis.edu.co/share/page/folder-details?nodeRef=workspace://SpacesStore/d8cb82ab-0ba3-42ab-a167-260d06a9d0a4","0018_2026002516_7849")</f>
      </c>
      <c r="C166" s="12" t="s">
        <v>117</v>
      </c>
      <c r="D166" s="13" t="s">
        <v>152</v>
      </c>
      <c r="E166" s="12" t="s">
        <v>165</v>
      </c>
      <c r="F166" s="12" t="s">
        <v>168</v>
      </c>
      <c r="G166" s="12" t="s">
        <v>308</v>
      </c>
      <c r="H166" s="12" t="s">
        <v>308</v>
      </c>
      <c r="I166" s="12" t="s">
        <v>33</v>
      </c>
      <c r="J166" s="12" t="s">
        <v>33</v>
      </c>
    </row>
    <row customHeight="1" ht="33" r="167">
      <c r="B167" s="12">
        <f>HYPERLINK("https://gesdoc.uis.edu.co/share/page/folder-details?nodeRef=workspace://SpacesStore/03e6e0a7-a6e5-4244-bf84-a305e9a868db","2025000162_9701")</f>
      </c>
      <c r="C167" s="12" t="s">
        <v>33</v>
      </c>
      <c r="D167" s="13" t="s">
        <v>127</v>
      </c>
      <c r="E167" s="12" t="s">
        <v>165</v>
      </c>
      <c r="F167" s="12" t="s">
        <v>169</v>
      </c>
      <c r="G167" s="12" t="s">
        <v>309</v>
      </c>
      <c r="H167" s="12" t="s">
        <v>309</v>
      </c>
      <c r="I167" s="12" t="s">
        <v>33</v>
      </c>
      <c r="J167" s="12" t="s">
        <v>33</v>
      </c>
    </row>
    <row customHeight="1" ht="33" r="168">
      <c r="B168" s="12">
        <f>HYPERLINK("https://gesdoc.uis.edu.co/share/page/folder-details?nodeRef=workspace://SpacesStore/ec9e8781-16fc-48a6-9e99-3df942474e33","ELIMINAR_CONTRATOS")</f>
      </c>
      <c r="C168" s="12" t="s">
        <v>33</v>
      </c>
      <c r="D168" s="13" t="s">
        <v>163</v>
      </c>
      <c r="E168" s="12" t="s">
        <v>165</v>
      </c>
      <c r="F168" s="12" t="s">
        <v>176</v>
      </c>
      <c r="G168" s="12" t="s">
        <v>310</v>
      </c>
      <c r="H168" s="12" t="s">
        <v>378</v>
      </c>
      <c r="I168" s="12" t="s">
        <v>33</v>
      </c>
      <c r="J168" s="12" t="s">
        <v>33</v>
      </c>
    </row>
    <row customHeight="1" ht="33" r="169">
      <c r="B169" s="12">
        <f>HYPERLINK("https://gesdoc.uis.edu.co/share/page/folder-details?nodeRef=workspace://SpacesStore/6af43322-f83e-4a84-8cec-53c0b62b6b12","0020_2026000373_6820")</f>
      </c>
      <c r="C169" s="12" t="s">
        <v>118</v>
      </c>
      <c r="D169" s="13" t="s">
        <v>137</v>
      </c>
      <c r="E169" s="12" t="s">
        <v>165</v>
      </c>
      <c r="F169" s="12" t="s">
        <v>167</v>
      </c>
      <c r="G169" s="12" t="s">
        <v>311</v>
      </c>
      <c r="H169" s="12" t="s">
        <v>379</v>
      </c>
      <c r="I169" s="12" t="s">
        <v>33</v>
      </c>
      <c r="J169" s="12" t="s">
        <v>33</v>
      </c>
    </row>
    <row customHeight="1" ht="33" r="170">
      <c r="B170" s="12">
        <f>HYPERLINK("https://gesdoc.uis.edu.co/share/page/folder-details?nodeRef=workspace://SpacesStore/e6d35b3e-0ab8-45cb-9d57-047afd2feb9b","18_2026002482_7068")</f>
      </c>
      <c r="C170" s="12" t="s">
        <v>33</v>
      </c>
      <c r="D170" s="13" t="s">
        <v>133</v>
      </c>
      <c r="E170" s="12" t="s">
        <v>165</v>
      </c>
      <c r="F170" s="12" t="s">
        <v>168</v>
      </c>
      <c r="G170" s="12" t="s">
        <v>312</v>
      </c>
      <c r="H170" s="12" t="s">
        <v>380</v>
      </c>
      <c r="I170" s="12" t="s">
        <v>33</v>
      </c>
      <c r="J170" s="12" t="s">
        <v>33</v>
      </c>
    </row>
    <row customHeight="1" ht="33" r="171">
      <c r="B171" s="12">
        <f>HYPERLINK("https://gesdoc.uis.edu.co/share/page/folder-details?nodeRef=workspace://SpacesStore/fbc58184-444d-4cd7-9092-a5a814d299e8","2025000041_9701")</f>
      </c>
      <c r="C171" s="12" t="s">
        <v>33</v>
      </c>
      <c r="D171" s="13" t="s">
        <v>127</v>
      </c>
      <c r="E171" s="12" t="s">
        <v>165</v>
      </c>
      <c r="F171" s="12" t="s">
        <v>169</v>
      </c>
      <c r="G171" s="12" t="s">
        <v>313</v>
      </c>
      <c r="H171" s="12" t="s">
        <v>381</v>
      </c>
      <c r="I171" s="12" t="s">
        <v>33</v>
      </c>
      <c r="J171" s="12" t="s">
        <v>33</v>
      </c>
    </row>
    <row customHeight="1" ht="33" r="172">
      <c r="B172" s="12">
        <f>HYPERLINK("https://gesdoc.uis.edu.co/share/page/folder-details?nodeRef=workspace://SpacesStore/0e44d24d-194e-4ad8-aff0-a5637f89937f","2025000087_9701")</f>
      </c>
      <c r="C172" s="12" t="s">
        <v>33</v>
      </c>
      <c r="D172" s="13" t="s">
        <v>127</v>
      </c>
      <c r="E172" s="12" t="s">
        <v>165</v>
      </c>
      <c r="F172" s="12" t="s">
        <v>169</v>
      </c>
      <c r="G172" s="12" t="s">
        <v>314</v>
      </c>
      <c r="H172" s="12" t="s">
        <v>314</v>
      </c>
      <c r="I172" s="12" t="s">
        <v>33</v>
      </c>
      <c r="J172" s="12" t="s">
        <v>33</v>
      </c>
    </row>
    <row customHeight="1" ht="33" r="173">
      <c r="B173" s="12">
        <f>HYPERLINK("https://gesdoc.uis.edu.co/share/page/folder-details?nodeRef=workspace://SpacesStore/c2f61668-4a5c-4a9a-936e-7ccd1bdd7f66","2025000131_9701")</f>
      </c>
      <c r="C173" s="12" t="s">
        <v>33</v>
      </c>
      <c r="D173" s="13" t="s">
        <v>127</v>
      </c>
      <c r="E173" s="12" t="s">
        <v>165</v>
      </c>
      <c r="F173" s="12" t="s">
        <v>169</v>
      </c>
      <c r="G173" s="12" t="s">
        <v>315</v>
      </c>
      <c r="H173" s="12" t="s">
        <v>315</v>
      </c>
      <c r="I173" s="12" t="s">
        <v>33</v>
      </c>
      <c r="J173" s="12" t="s">
        <v>33</v>
      </c>
    </row>
    <row customHeight="1" ht="33" r="174">
      <c r="B174" s="12">
        <f>HYPERLINK("https://gesdoc.uis.edu.co/share/page/folder-details?nodeRef=workspace://SpacesStore/9e955ec7-4e2e-462c-bf6c-8fca11638c1e","2025000123_9701")</f>
      </c>
      <c r="C174" s="12" t="s">
        <v>33</v>
      </c>
      <c r="D174" s="13" t="s">
        <v>127</v>
      </c>
      <c r="E174" s="12" t="s">
        <v>165</v>
      </c>
      <c r="F174" s="12" t="s">
        <v>169</v>
      </c>
      <c r="G174" s="12" t="s">
        <v>315</v>
      </c>
      <c r="H174" s="12" t="s">
        <v>315</v>
      </c>
      <c r="I174" s="12" t="s">
        <v>33</v>
      </c>
      <c r="J174" s="12" t="s">
        <v>33</v>
      </c>
    </row>
    <row customHeight="1" ht="33" r="175">
      <c r="B175" s="12">
        <f>HYPERLINK("https://gesdoc.uis.edu.co/share/page/folder-details?nodeRef=workspace://SpacesStore/67b343d8-87a0-43b5-9a9f-a133c34a673c","0020_2026000321_7841")</f>
      </c>
      <c r="C175" s="12" t="s">
        <v>119</v>
      </c>
      <c r="D175" s="13" t="s">
        <v>155</v>
      </c>
      <c r="E175" s="12" t="s">
        <v>165</v>
      </c>
      <c r="F175" s="12" t="s">
        <v>167</v>
      </c>
      <c r="G175" s="12" t="s">
        <v>316</v>
      </c>
      <c r="H175" s="12" t="s">
        <v>382</v>
      </c>
      <c r="I175" s="12" t="s">
        <v>33</v>
      </c>
      <c r="J175" s="12" t="s">
        <v>33</v>
      </c>
    </row>
    <row customHeight="1" ht="33" r="176">
      <c r="B176" s="12">
        <f>HYPERLINK("https://gesdoc.uis.edu.co/share/page/folder-details?nodeRef=workspace://SpacesStore/b58d9485-5fb1-434b-90c1-7b1e39897595","2025000092_9702")</f>
      </c>
      <c r="C176" s="12" t="s">
        <v>33</v>
      </c>
      <c r="D176" s="13" t="s">
        <v>127</v>
      </c>
      <c r="E176" s="12" t="s">
        <v>165</v>
      </c>
      <c r="F176" s="12" t="s">
        <v>169</v>
      </c>
      <c r="G176" s="12" t="s">
        <v>314</v>
      </c>
      <c r="H176" s="12" t="s">
        <v>314</v>
      </c>
      <c r="I176" s="12" t="s">
        <v>33</v>
      </c>
      <c r="J176" s="12" t="s">
        <v>33</v>
      </c>
    </row>
    <row customHeight="1" ht="33" r="177">
      <c r="B177" s="12">
        <f>HYPERLINK("https://gesdoc.uis.edu.co/share/page/folder-details?nodeRef=workspace://SpacesStore/ecdc6c53-d897-45bc-9eac-f682d8d5c87d","0298_2026000268_9256")</f>
      </c>
      <c r="C177" s="12" t="s">
        <v>120</v>
      </c>
      <c r="D177" s="13" t="s">
        <v>137</v>
      </c>
      <c r="E177" s="12" t="s">
        <v>165</v>
      </c>
      <c r="F177" s="12" t="s">
        <v>171</v>
      </c>
      <c r="G177" s="12" t="s">
        <v>317</v>
      </c>
      <c r="H177" s="12" t="s">
        <v>383</v>
      </c>
      <c r="I177" s="12" t="s">
        <v>33</v>
      </c>
      <c r="J177" s="12" t="s">
        <v>33</v>
      </c>
    </row>
    <row customHeight="1" ht="33" r="178">
      <c r="B178" s="12">
        <f>HYPERLINK("https://gesdoc.uis.edu.co/share/page/folder-details?nodeRef=workspace://SpacesStore/c7d716da-bf3d-4d83-9e81-f6a1d84704e3","0020_2026000317_2220")</f>
      </c>
      <c r="C178" s="12" t="s">
        <v>121</v>
      </c>
      <c r="D178" s="13" t="s">
        <v>156</v>
      </c>
      <c r="E178" s="12" t="s">
        <v>165</v>
      </c>
      <c r="F178" s="12" t="s">
        <v>167</v>
      </c>
      <c r="G178" s="12" t="s">
        <v>246</v>
      </c>
      <c r="H178" s="12" t="s">
        <v>384</v>
      </c>
      <c r="I178" s="12" t="s">
        <v>33</v>
      </c>
      <c r="J178" s="12" t="s">
        <v>33</v>
      </c>
    </row>
    <row customHeight="1" ht="33" r="179">
      <c r="B179" s="12">
        <f>HYPERLINK("https://gesdoc.uis.edu.co/share/page/folder-details?nodeRef=workspace://SpacesStore/84c99222-ed55-4edf-ac40-06222ad0cd50","2025000026_9701")</f>
      </c>
      <c r="C179" s="12" t="s">
        <v>33</v>
      </c>
      <c r="D179" s="13" t="s">
        <v>127</v>
      </c>
      <c r="E179" s="12" t="s">
        <v>165</v>
      </c>
      <c r="F179" s="12" t="s">
        <v>169</v>
      </c>
      <c r="G179" s="12" t="s">
        <v>318</v>
      </c>
      <c r="H179" s="12" t="s">
        <v>313</v>
      </c>
      <c r="I179" s="12" t="s">
        <v>33</v>
      </c>
      <c r="J179" s="12" t="s">
        <v>33</v>
      </c>
    </row>
    <row customHeight="1" ht="33" r="180">
      <c r="B180" s="12">
        <f>HYPERLINK("https://gesdoc.uis.edu.co/share/page/folder-details?nodeRef=workspace://SpacesStore/6d7b1fcb-dc22-4e7d-abe3-71aa10e84763","2025000145_9701")</f>
      </c>
      <c r="C180" s="12" t="s">
        <v>33</v>
      </c>
      <c r="D180" s="13" t="s">
        <v>127</v>
      </c>
      <c r="E180" s="12" t="s">
        <v>165</v>
      </c>
      <c r="F180" s="12" t="s">
        <v>169</v>
      </c>
      <c r="G180" s="12" t="s">
        <v>315</v>
      </c>
      <c r="H180" s="12" t="s">
        <v>309</v>
      </c>
      <c r="I180" s="12" t="s">
        <v>33</v>
      </c>
      <c r="J180" s="12" t="s">
        <v>33</v>
      </c>
    </row>
    <row customHeight="1" ht="33" r="181">
      <c r="B181" s="12">
        <f>HYPERLINK("https://gesdoc.uis.edu.co/share/page/folder-details?nodeRef=workspace://SpacesStore/04f6d7b3-6f8b-44c5-ac7e-a8082c7125b8","0020_2026000358_7056")</f>
      </c>
      <c r="C181" s="12" t="s">
        <v>122</v>
      </c>
      <c r="D181" s="13" t="s">
        <v>164</v>
      </c>
      <c r="E181" s="12" t="s">
        <v>165</v>
      </c>
      <c r="F181" s="12" t="s">
        <v>167</v>
      </c>
      <c r="G181" s="12" t="s">
        <v>319</v>
      </c>
      <c r="H181" s="12" t="s">
        <v>385</v>
      </c>
      <c r="I181" s="12" t="s">
        <v>33</v>
      </c>
      <c r="J181" s="12" t="s">
        <v>33</v>
      </c>
    </row>
    <row customHeight="1" ht="12.4" r="182">
      <c r="B182" s="10"/>
      <c r="C182" s="10"/>
      <c r="D182" s="10"/>
      <c r="E182" s="10"/>
      <c r="F182" s="10"/>
      <c r="G182" s="10"/>
      <c r="H182" s="10"/>
      <c r="I182" s="10"/>
      <c r="J182" s="10"/>
    </row>
    <row customHeight="1" ht="13.15" r="183">
      <c r="B183" s="10"/>
      <c r="C183" s="10"/>
      <c r="E183" s="10"/>
      <c r="F183" s="10"/>
      <c r="G183" s="10"/>
      <c r="H183" s="10"/>
      <c r="I183" s="10"/>
      <c r="J183" s="10"/>
    </row>
    <row customHeight="1" ht="13.5" r="184">
      <c r="B184" s="10"/>
      <c r="J184" s="10"/>
    </row>
    <row ht="12.75" r="185">
      <c r="B185" s="10"/>
      <c r="J185" s="10"/>
    </row>
    <row ht="12.75" r="186"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B193" s="10"/>
      <c r="C193" s="10"/>
      <c r="D193" s="10"/>
      <c r="E193" s="10"/>
      <c r="F193" s="10"/>
      <c r="G193" s="10"/>
      <c r="H193" s="10"/>
      <c r="I193" s="10"/>
      <c r="J193" s="10"/>
    </row>
    <row customHeight="1" ht="12.4" r="194"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B203" s="10"/>
      <c r="C203" s="10"/>
      <c r="D203" s="10"/>
      <c r="E203" s="10"/>
      <c r="F203" s="10"/>
      <c r="G203" s="10"/>
      <c r="H203" s="10"/>
      <c r="I203" s="10"/>
      <c r="J203" s="10"/>
    </row>
    <row customHeight="1" ht="12.4" r="204">
      <c r="B204" s="10"/>
      <c r="C204" s="10"/>
      <c r="D204" s="10"/>
      <c r="E204" s="10"/>
      <c r="F204" s="10"/>
      <c r="G204" s="10"/>
      <c r="H204" s="10"/>
      <c r="I204" s="10"/>
      <c r="J204" s="10"/>
    </row>
    <row customHeight="1" ht="12.4" r="205"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B206" s="10"/>
      <c r="C206" s="10"/>
      <c r="D206" s="10"/>
      <c r="E206" s="10"/>
      <c r="F206" s="10"/>
      <c r="G206" s="10"/>
      <c r="H206" s="10"/>
      <c r="I206" s="10"/>
      <c r="J206" s="10"/>
    </row>
    <row customHeight="1" ht="12.4" r="207">
      <c r="B207" s="10"/>
      <c r="C207" s="10"/>
      <c r="D207" s="10"/>
      <c r="E207" s="10"/>
      <c r="F207" s="10"/>
      <c r="G207" s="10"/>
      <c r="H207" s="10"/>
      <c r="I207" s="10"/>
      <c r="J207" s="10"/>
    </row>
    <row customHeight="1" ht="12.4" r="208">
      <c r="B208" s="10"/>
      <c r="C208" s="10"/>
      <c r="D208" s="10"/>
      <c r="E208" s="10"/>
      <c r="F208" s="10"/>
      <c r="G208" s="10"/>
      <c r="H208" s="10"/>
      <c r="I208" s="10"/>
      <c r="J208" s="10"/>
    </row>
    <row customHeight="1" ht="13.1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customHeight="1" ht="12.4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ht="12.75"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ht="12.75"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ht="12.75"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ht="12.75"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ht="12.75"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ht="12.75"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ht="12.75"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ht="12.75"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ht="12.75"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ht="12.75"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ht="12.75"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ht="12.75"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ht="12.75"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ht="12.75"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ht="12.75"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ht="12.75"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ht="12.75"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ht="12.75"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  <row ht="12.75"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</row>
    <row ht="12.75"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</row>
    <row ht="12.75"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</row>
    <row ht="12.75"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</row>
    <row ht="12.75"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</row>
    <row ht="12.75"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</row>
    <row ht="12.75"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</row>
    <row ht="12.75"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</row>
    <row ht="12.75"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</row>
    <row ht="12.75"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</row>
    <row ht="12.75"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</row>
    <row ht="12.75"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</row>
    <row ht="12.75"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</row>
    <row ht="12.75"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</row>
    <row ht="12.75"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</row>
    <row ht="12.75"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</row>
    <row ht="12.75"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</row>
    <row ht="12.75"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</row>
    <row ht="12.75"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</row>
    <row ht="12.75"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</row>
    <row ht="12.75"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</row>
    <row ht="12.75"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</row>
    <row ht="12.75"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</row>
    <row ht="12.75"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</row>
    <row ht="12.75"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</row>
    <row ht="12.75"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</row>
    <row ht="12.75"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</row>
    <row ht="12.75"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</row>
    <row ht="12.75"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</row>
    <row ht="12.75"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</row>
    <row ht="12.75"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</row>
    <row ht="12.75"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</row>
    <row ht="12.75"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</row>
    <row ht="12.75"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</row>
    <row ht="12.75"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</row>
    <row ht="12.75"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</row>
    <row ht="12.75"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</row>
    <row ht="12.75"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</row>
    <row ht="12.75"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</row>
    <row ht="12.75"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</row>
    <row ht="12.75"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</row>
    <row ht="12.75"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</row>
    <row ht="12.75"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</row>
    <row ht="12.75"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</row>
    <row ht="12.75"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</row>
    <row ht="12.75"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</row>
    <row ht="12.75"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</row>
    <row ht="12.75"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</row>
    <row ht="12.75"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</row>
    <row ht="12.75"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</row>
    <row ht="12.75"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</row>
    <row ht="12.75"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</row>
    <row ht="12.75"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</row>
    <row ht="12.75"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</row>
    <row ht="12.75"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</row>
    <row ht="12.75"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</row>
    <row ht="12.75"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</row>
    <row ht="12.75"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</row>
    <row ht="12.75"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</row>
    <row ht="12.75"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</row>
    <row ht="12.75"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</row>
    <row ht="12.75"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</row>
    <row ht="12.75" r="1117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</row>
    <row ht="12.75" r="1118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</row>
    <row ht="12.75" r="11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</row>
    <row ht="12.75" r="112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</row>
    <row ht="12.75" r="112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</row>
    <row ht="12.75" r="112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</row>
    <row ht="12.75" r="1123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</row>
    <row ht="12.75" r="1124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</row>
    <row ht="12.75" r="11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</row>
    <row ht="12.75" r="112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</row>
    <row ht="12.75" r="1127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</row>
    <row ht="12.75" r="1128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</row>
    <row ht="12.75" r="112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</row>
    <row ht="12.75" r="113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</row>
    <row ht="12.75" r="1131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</row>
    <row ht="12.75" r="113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</row>
    <row ht="12.75" r="1133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</row>
    <row ht="12.75" r="1134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</row>
    <row ht="12.75" r="113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</row>
    <row ht="12.75" r="113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</row>
    <row ht="12.75" r="1137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</row>
    <row ht="12.75" r="1138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</row>
    <row ht="12.75" r="113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</row>
    <row ht="12.75" r="1140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</row>
    <row ht="12.75" r="1141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</row>
    <row ht="12.75" r="114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</row>
    <row ht="12.75" r="1143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</row>
    <row ht="12.75" r="1144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</row>
    <row ht="12.75" r="114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</row>
    <row ht="12.75" r="114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</row>
    <row ht="12.75" r="1147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</row>
    <row ht="12.75" r="1148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</row>
    <row ht="12.75" r="114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</row>
    <row ht="12.75" r="1150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</row>
    <row ht="12.75" r="1151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</row>
    <row ht="12.75" r="115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</row>
    <row ht="12.75" r="1153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</row>
    <row ht="12.75" r="1154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</row>
    <row ht="12.75" r="115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</row>
    <row ht="12.75" r="1156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</row>
    <row ht="12.75" r="1157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</row>
    <row ht="12.75" r="1158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</row>
    <row ht="12.75" r="115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</row>
    <row ht="12.75" r="1160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</row>
    <row ht="12.75" r="1161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</row>
    <row ht="12.75" r="116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</row>
    <row ht="12.75" r="1163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</row>
    <row ht="12.75" r="1164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</row>
    <row ht="12.75" r="116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