
<file path=[Content_Types].xml><?xml version="1.0" encoding="utf-8"?>
<Types xmlns="http://schemas.openxmlformats.org/package/2006/content-types">
  <Default ContentType="application/xml" Extension="xml"/>
  <Default ContentType="image/x-wmf" Extension="wmf"/>
  <Default ContentType="application/vnd.openxmlformats-officedocument.oleObject" Extension="bin"/>
  <Default ContentType="application/vnd.openxmlformats-package.relationships+xml" Extension="rels"/>
  <Default ContentType="image/jpeg" Extension="jpeg"/>
  <Default ContentType="image/png" Extension="png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theme+xml" PartName="/xl/theme/theme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Default ContentType="image/png" Extension="jpg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workbookPr/>
  <bookViews>
    <workbookView activeTab="0" windowHeight="9720" windowWidth="20955" xWindow="360" yWindow="15"/>
  </bookViews>
  <sheets>
    <sheet name="Hoja 1" r:id="rId1" sheetId="1" state="visible"/>
  </sheets>
  <definedNames>
    <definedName hidden="1" localSheetId="0" name="_xlnm._FilterDatabase">'Hoja 1'!$B$12:$C$12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<sst xmlns="http://schemas.openxmlformats.org/spreadsheetml/2006/main" count="80" uniqueCount="80">
  <si>
    <t>Universidad Industrial de Santander</t>
  </si>
  <si>
    <t>NIT. 890201213-4</t>
  </si>
  <si>
    <t>Solicitud de reporte documentos cargados Alfresco</t>
  </si>
  <si>
    <t>Fecha del reporte: ${table:fechaDesde} al ${table:fechaHasta}</t>
  </si>
  <si>
    <t>NOMBRE EXPEDIENTE</t>
  </si>
  <si>
    <t>NÚMERO CONTRATO</t>
  </si>
  <si>
    <t>UAA</t>
  </si>
  <si>
    <t>SERIE</t>
  </si>
  <si>
    <t>SUBSERIE</t>
  </si>
  <si>
    <t>FECHA CREACIÓN </t>
  </si>
  <si>
    <t>FECHA MODIFICACIÓN </t>
  </si>
  <si>
    <t>NOMBRE CONTRATO</t>
  </si>
  <si>
    <t>TIPO CONTRATO</t>
  </si>
  <si>
    <t>${table:tabla.nombreExpediente}</t>
  </si>
  <si>
    <t>${table:tabla.numeroExpediente}</t>
  </si>
  <si>
    <t>${table:tabla.nombreUnidad}</t>
  </si>
  <si>
    <t>${table:tabla.nombreSerie}</t>
  </si>
  <si>
    <t>${table:tabla.nombreSubserie}</t>
  </si>
  <si>
    <t>${table:tabla.fechaCreacion}</t>
  </si>
  <si>
    <t>${table:tabla.fechaModificacion}</t>
  </si>
  <si>
    <t>${table:tabla.nombreContrato}</t>
  </si>
  <si>
    <t>${table:tabla.tipoContrato}</t>
  </si>
  <si>
    <t>Fecha del reporte: 01/09/2026 al ${table:fechaHasta}</t>
  </si>
  <si>
    <t>Fecha del reporte: 01/09/2026 al 01/09/2026</t>
  </si>
  <si>
    <t>18-2026002526</t>
  </si>
  <si>
    <t>20-2026000376</t>
  </si>
  <si>
    <t>19-2026000118</t>
  </si>
  <si>
    <t>234-2026008273</t>
  </si>
  <si>
    <t>19-2026000117</t>
  </si>
  <si>
    <t>18-2026002522</t>
  </si>
  <si>
    <t>298-2026000270</t>
  </si>
  <si>
    <t>19-2026000119</t>
  </si>
  <si>
    <t>234-2026012125</t>
  </si>
  <si>
    <t>234-2026012135</t>
  </si>
  <si>
    <t>234-2026011935</t>
  </si>
  <si>
    <t>234-2026008766</t>
  </si>
  <si>
    <t>234-2026007068</t>
  </si>
  <si>
    <t>234-2026007065</t>
  </si>
  <si>
    <t>234-2026000930</t>
  </si>
  <si>
    <t>234-2026007066</t>
  </si>
  <si>
    <t/>
  </si>
  <si>
    <t>20-2026000377</t>
  </si>
  <si>
    <t>18-2026002527</t>
  </si>
  <si>
    <t>4110_CICTA</t>
  </si>
  <si>
    <t>6861_DPTO_CIENCIAS_BASICAS</t>
  </si>
  <si>
    <t>4110_VICE_INVESTIGACION_EXTENSION</t>
  </si>
  <si>
    <t>6280_ESC_TRABAJO_SOCIAL</t>
  </si>
  <si>
    <t>3150_DMT</t>
  </si>
  <si>
    <t>6290_DPTO_EDUCACION_FISICA_DEPORTES</t>
  </si>
  <si>
    <t>6212_INSTITUTO_LENGUAS</t>
  </si>
  <si>
    <t>2240_SEDE_BARRANCABERMEJA</t>
  </si>
  <si>
    <t>2250_SEDE_BARBOSA</t>
  </si>
  <si>
    <t>6560_ESC_ING_MECANICA</t>
  </si>
  <si>
    <t>C09_CONTRATOS</t>
  </si>
  <si>
    <t>C09.11_ORDEN_PRESTACION_SERVICIOS</t>
  </si>
  <si>
    <t>C09.08_ORDEN_COMPRA</t>
  </si>
  <si>
    <t>C09.12_ORDEN_TRABAJO</t>
  </si>
  <si>
    <t>C09.10_ORDEN_PAGO</t>
  </si>
  <si>
    <t>C09.33_ORDEN_SUMINISTROS</t>
  </si>
  <si>
    <t>01/09/2026 15:06</t>
  </si>
  <si>
    <t>01/09/2026 14:56</t>
  </si>
  <si>
    <t>01/09/2026 15:34</t>
  </si>
  <si>
    <t>01/09/2026 14:58</t>
  </si>
  <si>
    <t>01/09/2026 09:46</t>
  </si>
  <si>
    <t>01/09/2026 16:37</t>
  </si>
  <si>
    <t>01/09/2026 16:47</t>
  </si>
  <si>
    <t>01/09/2026 10:27</t>
  </si>
  <si>
    <t>01/09/2026 17:01</t>
  </si>
  <si>
    <t>01/09/2026 15:23</t>
  </si>
  <si>
    <t>01/09/2026 15:41</t>
  </si>
  <si>
    <t>01/09/2026 16:08</t>
  </si>
  <si>
    <t>01/09/2026 10:39</t>
  </si>
  <si>
    <t>01/09/2026 14:57</t>
  </si>
  <si>
    <t>01/09/2026 16:33</t>
  </si>
  <si>
    <t>01/09/2026 15:03</t>
  </si>
  <si>
    <t>01/09/2026 16:04</t>
  </si>
  <si>
    <t>01/09/2026 16:38</t>
  </si>
  <si>
    <t>02/09/2026 10:33</t>
  </si>
  <si>
    <t>02/09/2026 10:29</t>
  </si>
  <si>
    <t>01/09/2026 16:10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</si>
</sst>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0.000000"/>
      <name val="Arial"/>
      <scheme val="minor"/>
    </font>
    <font>
      <sz val="10.000000"/>
      <color theme="1"/>
      <name val="Arial"/>
      <scheme val="minor"/>
    </font>
    <font>
      <b/>
      <sz val="10.000000"/>
      <color indexed="65"/>
      <name val="Open Sans"/>
    </font>
    <font>
      <sz val="10.000000"/>
      <color indexed="65"/>
      <name val="Open Sans"/>
    </font>
    <font>
      <b/>
      <sz val="10.000000"/>
      <color theme="1"/>
      <name val="Open Sans"/>
    </font>
    <font>
      <b/>
      <sz val="9.000000"/>
      <color theme="1"/>
      <name val="Open Sans"/>
    </font>
    <font>
      <sz val="9.000000"/>
      <color theme="1"/>
      <name val="Open Sans"/>
    </font>
  </fonts>
  <fills count="5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8BBE43"/>
        <bgColor rgb="FF8BBE43"/>
      </patternFill>
    </fill>
    <fill>
      <patternFill patternType="solid">
        <fgColor rgb="FFF5F5F5"/>
        <bgColor rgb="FFF5F5F5"/>
      </patternFill>
    </fill>
  </fills>
  <borders count="2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rgb="FFE0E0E0"/>
      </bottom>
      <diagonal style="none"/>
    </border>
  </borders>
  <cellStyleXfs count="1">
    <xf fontId="0" fillId="0" borderId="0" numFmtId="0" applyNumberFormat="1" applyFont="1" applyFill="1" applyBorder="1"/>
  </cellStyleXfs>
  <cellXfs count="14">
    <xf fontId="0" fillId="0" borderId="0" numFmtId="0" xfId="0"/>
    <xf fontId="0" fillId="2" borderId="0" numFmtId="0" xfId="0" applyFill="1"/>
    <xf fontId="1" fillId="3" borderId="0" numFmtId="0" xfId="0" applyFont="1" applyFill="1" applyAlignment="1">
      <alignment vertical="center"/>
    </xf>
    <xf fontId="2" fillId="3" borderId="0" numFmtId="0" xfId="0" applyFont="1" applyFill="1" applyAlignment="1">
      <alignment horizontal="right"/>
    </xf>
    <xf fontId="3" fillId="3" borderId="0" numFmtId="0" xfId="0" applyFont="1" applyFill="1" applyAlignment="1">
      <alignment horizontal="right" vertical="top"/>
    </xf>
    <xf fontId="1" fillId="4" borderId="0" numFmtId="0" xfId="0" applyFont="1" applyFill="1" applyAlignment="1">
      <alignment vertical="center"/>
    </xf>
    <xf fontId="4" fillId="4" borderId="0" numFmtId="0" xfId="0" applyFont="1" applyFill="1" applyAlignment="1">
      <alignment vertical="center"/>
    </xf>
    <xf fontId="5" fillId="4" borderId="0" numFmtId="0" xfId="0" applyFont="1" applyFill="1" applyAlignment="1">
      <alignment vertical="center"/>
    </xf>
    <xf fontId="6" fillId="4" borderId="0" numFmtId="0" xfId="0" applyFont="1" applyFill="1" applyAlignment="1">
      <alignment horizontal="left" vertical="center"/>
    </xf>
    <xf fontId="1" fillId="0" borderId="0" numFmtId="0" xfId="0" applyFont="1" applyAlignment="1">
      <alignment vertical="center"/>
    </xf>
    <xf fontId="1" fillId="2" borderId="0" numFmtId="0" xfId="0" applyFont="1" applyFill="1" applyAlignment="1">
      <alignment vertical="center"/>
    </xf>
    <xf fontId="5" fillId="4" borderId="0" numFmtId="0" xfId="0" applyFont="1" applyFill="1" applyAlignment="1">
      <alignment horizontal="left" vertical="center"/>
    </xf>
    <xf fontId="6" fillId="0" borderId="1" numFmtId="0" xfId="0" applyFont="1" applyBorder="1" applyAlignment="1">
      <alignment vertical="center"/>
    </xf>
    <xf fontId="6" fillId="0" borderId="1" numFmtId="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1</xdr:col>
      <xdr:colOff>6652</xdr:colOff>
      <xdr:row>0</xdr:row>
      <xdr:rowOff>85392</xdr:rowOff>
    </xdr:from>
    <xdr:ext cx="838200" cy="463550"/>
    <xdr:pic>
      <xdr:nvPicPr>
        <xdr:cNvPr id="2" name="image2.png"/>
        <xdr:cNvPicPr/>
      </xdr:nvPicPr>
      <xdr:blipFill rotWithShape="1">
        <a:blip r:embed="rId1"/>
        <a:stretch/>
      </xdr:blipFill>
      <xdr:spPr bwMode="auto">
        <a:xfrm>
          <a:off x="309033" y="85392"/>
          <a:ext cx="838200" cy="463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1050785</xdr:colOff>
      <xdr:row>1</xdr:row>
      <xdr:rowOff>108815</xdr:rowOff>
    </xdr:from>
    <xdr:ext cx="957207" cy="223436"/>
    <xdr:pic>
      <xdr:nvPicPr>
        <xdr:cNvPr id="3" name="image1.png"/>
        <xdr:cNvPicPr/>
      </xdr:nvPicPr>
      <xdr:blipFill rotWithShape="1">
        <a:blip r:embed="rId2"/>
        <a:stretch/>
      </xdr:blipFill>
      <xdr:spPr bwMode="auto">
        <a:xfrm>
          <a:off x="1358664" y="205028"/>
          <a:ext cx="957208" cy="223436"/>
        </a:xfrm>
        <a:prstGeom prst="rect">
          <a:avLst/>
        </a:prstGeom>
        <a:noFill/>
      </xdr:spPr>
    </xdr:pic>
    <xdr:clientData fLocksWithSheet="0"/>
  </xdr:one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'1.0' encoding='utf-8'?>
<Relationships xmlns="http://schemas.openxmlformats.org/package/2006/relationships"><Relationship Id="rId1" Target="../drawings/drawing1.xml" Type="http://schemas.openxmlformats.org/officeDocument/2006/relationships/drawing" 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howOutlineSymbols="1" summaryBelow="0" summaryRight="0"/>
    <pageSetUpPr autoPageBreaks="1" fitToPage="0"/>
  </sheetPr>
  <sheetViews>
    <sheetView topLeftCell="A1" workbookViewId="0" zoomScale="99">
      <pane activePane="bottomLeft" state="frozen" topLeftCell="A13" ySplit="12"/>
      <selection activeCell="C15" activeCellId="0" sqref="C15"/>
    </sheetView>
  </sheetViews>
  <sheetFormatPr baseColWidth="10" customHeight="1" defaultColWidth="12.7109375" defaultRowHeight="15.75"/>
  <cols>
    <col customWidth="1" max="1" min="1" style="1" width="4.28515625"/>
    <col customWidth="1" max="2" min="2" style="1" width="32.7109375"/>
    <col customWidth="1" max="3" min="3" style="1" width="28.5703125"/>
    <col customWidth="1" max="4" min="4" style="1" width="14"/>
    <col customWidth="1" max="5" min="5" style="1" width="10"/>
    <col customWidth="1" max="6" min="6" style="1" width="11.140625"/>
    <col customWidth="1" max="7" min="7" style="1" width="22.28515625"/>
    <col customWidth="1" max="8" min="8" style="1" width="22.140625"/>
    <col customWidth="1" max="9" min="9" style="1" width="18.85546875"/>
    <col customWidth="1" max="10" min="10" style="1" width="17.42578125"/>
    <col customWidth="1" max="11" min="11" style="1" width="4.28515625"/>
    <col max="16384" min="12" style="1" width="12.7109375"/>
  </cols>
  <sheetData>
    <row customHeight="1" ht="7.5" r="1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customHeight="1" ht="18" r="2">
      <c r="A2" s="2"/>
      <c r="B2" s="2"/>
      <c r="C2" s="2"/>
      <c r="D2" s="2"/>
      <c r="E2" s="2"/>
      <c r="F2" s="2"/>
      <c r="G2" s="2"/>
      <c r="H2" s="2"/>
      <c r="I2" s="2"/>
      <c r="J2" s="3" t="s">
        <v>0</v>
      </c>
      <c r="K2" s="2"/>
    </row>
    <row customHeight="1" ht="18" r="3">
      <c r="A3" s="2"/>
      <c r="B3" s="2"/>
      <c r="C3" s="2"/>
      <c r="D3" s="2"/>
      <c r="E3" s="2"/>
      <c r="F3" s="2"/>
      <c r="G3" s="2"/>
      <c r="H3" s="2"/>
      <c r="I3" s="2"/>
      <c r="J3" s="4" t="s">
        <v>1</v>
      </c>
      <c r="K3" s="2"/>
    </row>
    <row customHeight="1" ht="7.5" r="4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customHeight="1" ht="12" r="5">
      <c r="A5" s="5"/>
      <c r="B5" s="5"/>
      <c r="C5" s="5"/>
      <c r="D5" s="5"/>
      <c r="E5" s="5"/>
      <c r="F5" s="5"/>
      <c r="G5" s="5"/>
      <c r="H5" s="5"/>
      <c r="I5" s="5"/>
      <c r="J5" s="5"/>
      <c r="K5" s="5"/>
    </row>
    <row customHeight="1" ht="15" r="6">
      <c r="A6" s="5"/>
      <c r="B6" s="6" t="s">
        <v>2</v>
      </c>
      <c r="C6" s="5"/>
      <c r="D6" s="5"/>
      <c r="E6" s="5"/>
      <c r="F6" s="5"/>
      <c r="G6" s="5"/>
      <c r="H6" s="5"/>
      <c r="I6" s="5"/>
      <c r="J6" s="5"/>
      <c r="K6" s="5"/>
    </row>
    <row customHeight="1" ht="6" r="7">
      <c r="A7" s="5"/>
      <c r="B7" s="5"/>
      <c r="C7" s="5"/>
      <c r="D7" s="5"/>
      <c r="E7" s="5"/>
      <c r="F7" s="5"/>
      <c r="G7" s="5"/>
      <c r="H7" s="5"/>
      <c r="I7" s="5"/>
      <c r="J7" s="5"/>
      <c r="K7" s="5"/>
    </row>
    <row customHeight="1" ht="15" r="8">
      <c r="A8" s="5"/>
      <c r="B8" s="7" t="s">
        <v>23</v>
      </c>
      <c r="C8" s="7"/>
      <c r="D8" s="7"/>
      <c r="E8" s="5"/>
      <c r="F8" s="5"/>
      <c r="G8" s="8"/>
      <c r="H8" s="8"/>
      <c r="I8" s="8"/>
      <c r="J8" s="8"/>
      <c r="K8" s="8"/>
    </row>
    <row customHeight="1" ht="12" r="9">
      <c r="A9" s="5"/>
      <c r="B9" s="5"/>
      <c r="C9" s="5"/>
      <c r="D9" s="5"/>
      <c r="E9" s="5"/>
      <c r="F9" s="5"/>
      <c r="G9" s="5"/>
      <c r="H9" s="5"/>
      <c r="I9" s="5"/>
      <c r="J9" s="5"/>
      <c r="K9" s="5"/>
    </row>
    <row hidden="1" ht="12.75" r="10">
      <c r="A10" s="9"/>
      <c r="B10" s="9"/>
      <c r="C10" s="9"/>
      <c r="D10" s="9"/>
      <c r="E10" s="9"/>
      <c r="F10" s="9"/>
      <c r="G10" s="9"/>
      <c r="H10" s="9"/>
      <c r="I10" s="9"/>
      <c r="J10" s="9"/>
    </row>
    <row customHeight="1" ht="13.5" r="11">
      <c r="A11" s="10"/>
      <c r="B11" s="10"/>
      <c r="C11" s="10"/>
      <c r="D11" s="10"/>
      <c r="E11" s="10"/>
      <c r="F11" s="10"/>
      <c r="G11" s="10"/>
      <c r="H11" s="10"/>
      <c r="I11" s="10"/>
      <c r="J11" s="10"/>
    </row>
    <row customHeight="1" ht="24" r="12">
      <c r="B12" s="11" t="s">
        <v>4</v>
      </c>
      <c r="C12" s="11" t="s">
        <v>5</v>
      </c>
      <c r="D12" s="7" t="s">
        <v>6</v>
      </c>
      <c r="E12" s="7" t="s">
        <v>7</v>
      </c>
      <c r="F12" s="7" t="s">
        <v>8</v>
      </c>
      <c r="G12" s="7" t="s">
        <v>9</v>
      </c>
      <c r="H12" s="7" t="s">
        <v>10</v>
      </c>
      <c r="I12" s="7" t="s">
        <v>11</v>
      </c>
      <c r="J12" s="7" t="s">
        <v>12</v>
      </c>
    </row>
    <row customHeight="1" ht="33" r="13">
      <c r="B13" s="12">
        <f>HYPERLINK("https://gesdoc.uis.edu.co/share/page/folder-details?nodeRef=workspace://SpacesStore/72408974-059d-45c1-9310-4061b1e99c46","0018_2026002526_7077")</f>
      </c>
      <c r="C13" s="12" t="s">
        <v>24</v>
      </c>
      <c r="D13" s="13" t="s">
        <v>43</v>
      </c>
      <c r="E13" s="12" t="s">
        <v>53</v>
      </c>
      <c r="F13" s="12" t="s">
        <v>54</v>
      </c>
      <c r="G13" s="12" t="s">
        <v>59</v>
      </c>
      <c r="H13" s="12" t="s">
        <v>59</v>
      </c>
      <c r="I13" s="12" t="s">
        <v>40</v>
      </c>
      <c r="J13" s="12" t="s">
        <v>40</v>
      </c>
    </row>
    <row customHeight="1" ht="33" r="14">
      <c r="B14" s="12">
        <f>HYPERLINK("https://gesdoc.uis.edu.co/share/page/folder-details?nodeRef=workspace://SpacesStore/5a11505e-2927-4ac4-bf2b-053ab1680f37","0020_2026000376_6861")</f>
      </c>
      <c r="C14" s="12" t="s">
        <v>25</v>
      </c>
      <c r="D14" s="13" t="s">
        <v>44</v>
      </c>
      <c r="E14" s="12" t="s">
        <v>53</v>
      </c>
      <c r="F14" s="12" t="s">
        <v>55</v>
      </c>
      <c r="G14" s="12" t="s">
        <v>60</v>
      </c>
      <c r="H14" s="12" t="s">
        <v>72</v>
      </c>
      <c r="I14" s="12" t="s">
        <v>40</v>
      </c>
      <c r="J14" s="12" t="s">
        <v>40</v>
      </c>
    </row>
    <row customHeight="1" ht="33" r="15">
      <c r="B15" s="12">
        <f>HYPERLINK("https://gesdoc.uis.edu.co/share/page/folder-details?nodeRef=workspace://SpacesStore/2d80b4a8-a69a-43ed-a11c-36e46dc9d955","0019_2026000118_4518")</f>
      </c>
      <c r="C15" s="12" t="s">
        <v>26</v>
      </c>
      <c r="D15" s="13" t="s">
        <v>45</v>
      </c>
      <c r="E15" s="12" t="s">
        <v>53</v>
      </c>
      <c r="F15" s="12" t="s">
        <v>56</v>
      </c>
      <c r="G15" s="12" t="s">
        <v>61</v>
      </c>
      <c r="H15" s="12" t="s">
        <v>73</v>
      </c>
      <c r="I15" s="12" t="s">
        <v>40</v>
      </c>
      <c r="J15" s="12" t="s">
        <v>40</v>
      </c>
    </row>
    <row customHeight="1" ht="33" r="16">
      <c r="B16" s="12">
        <f>HYPERLINK("https://gesdoc.uis.edu.co/share/page/folder-details?nodeRef=workspace://SpacesStore/54bd96b7-ccda-409a-b590-ccdb99c44e59","0234_2026008273_7033")</f>
      </c>
      <c r="C16" s="12" t="s">
        <v>27</v>
      </c>
      <c r="D16" s="13" t="s">
        <v>46</v>
      </c>
      <c r="E16" s="12" t="s">
        <v>53</v>
      </c>
      <c r="F16" s="12" t="s">
        <v>57</v>
      </c>
      <c r="G16" s="12" t="s">
        <v>62</v>
      </c>
      <c r="H16" s="12" t="s">
        <v>74</v>
      </c>
      <c r="I16" s="12" t="s">
        <v>40</v>
      </c>
      <c r="J16" s="12" t="s">
        <v>40</v>
      </c>
    </row>
    <row customHeight="1" ht="33" r="17">
      <c r="B17" s="12">
        <f>HYPERLINK("https://gesdoc.uis.edu.co/share/page/folder-details?nodeRef=workspace://SpacesStore/f412634d-c795-4a2c-8934-6e249b17d1ee","0019_2026000117_7063")</f>
      </c>
      <c r="C17" s="12" t="s">
        <v>28</v>
      </c>
      <c r="D17" s="13" t="s">
        <v>47</v>
      </c>
      <c r="E17" s="12" t="s">
        <v>53</v>
      </c>
      <c r="F17" s="12" t="s">
        <v>56</v>
      </c>
      <c r="G17" s="12" t="s">
        <v>63</v>
      </c>
      <c r="H17" s="12" t="s">
        <v>75</v>
      </c>
      <c r="I17" s="12" t="s">
        <v>40</v>
      </c>
      <c r="J17" s="12" t="s">
        <v>40</v>
      </c>
    </row>
    <row customHeight="1" ht="33" r="18">
      <c r="B18" s="12">
        <f>HYPERLINK("https://gesdoc.uis.edu.co/share/page/folder-details?nodeRef=workspace://SpacesStore/e0bce0ef-bebb-4b30-b6c3-404077313a5d","0018_2026002522")</f>
      </c>
      <c r="C18" s="12" t="s">
        <v>29</v>
      </c>
      <c r="D18" s="13" t="s">
        <v>48</v>
      </c>
      <c r="E18" s="12" t="s">
        <v>53</v>
      </c>
      <c r="F18" s="12" t="s">
        <v>54</v>
      </c>
      <c r="G18" s="12" t="s">
        <v>64</v>
      </c>
      <c r="H18" s="12" t="s">
        <v>76</v>
      </c>
      <c r="I18" s="12" t="s">
        <v>40</v>
      </c>
      <c r="J18" s="12" t="s">
        <v>40</v>
      </c>
    </row>
    <row customHeight="1" ht="33" r="19">
      <c r="B19" s="12">
        <f>HYPERLINK("https://gesdoc.uis.edu.co/share/page/folder-details?nodeRef=workspace://SpacesStore/7150c628-81e2-44e1-821e-ba872e8b7cf1","0298_2026000270_7061")</f>
      </c>
      <c r="C19" s="12" t="s">
        <v>30</v>
      </c>
      <c r="D19" s="13" t="s">
        <v>49</v>
      </c>
      <c r="E19" s="12" t="s">
        <v>53</v>
      </c>
      <c r="F19" s="12" t="s">
        <v>58</v>
      </c>
      <c r="G19" s="12" t="s">
        <v>65</v>
      </c>
      <c r="H19" s="12" t="s">
        <v>77</v>
      </c>
      <c r="I19" s="12" t="s">
        <v>40</v>
      </c>
      <c r="J19" s="12" t="s">
        <v>40</v>
      </c>
    </row>
    <row customHeight="1" ht="33" r="20">
      <c r="B20" s="12">
        <f>HYPERLINK("https://gesdoc.uis.edu.co/share/page/folder-details?nodeRef=workspace://SpacesStore/e282be19-a3b0-4e60-bed2-ac8ca80db7c9","0019_2026000119_2240_7837")</f>
      </c>
      <c r="C20" s="12" t="s">
        <v>31</v>
      </c>
      <c r="D20" s="13" t="s">
        <v>50</v>
      </c>
      <c r="E20" s="12" t="s">
        <v>53</v>
      </c>
      <c r="F20" s="12" t="s">
        <v>56</v>
      </c>
      <c r="G20" s="12" t="s">
        <v>66</v>
      </c>
      <c r="H20" s="12" t="s">
        <v>78</v>
      </c>
      <c r="I20" s="12" t="s">
        <v>40</v>
      </c>
      <c r="J20" s="12" t="s">
        <v>40</v>
      </c>
    </row>
    <row customHeight="1" ht="33" r="21">
      <c r="B21" s="12">
        <f>HYPERLINK("https://gesdoc.uis.edu.co/share/page/folder-details?nodeRef=workspace://SpacesStore/5d1159c7-76fc-43a6-b46e-367ca1acab1d","0234_2026012125_2240")</f>
      </c>
      <c r="C21" s="12" t="s">
        <v>32</v>
      </c>
      <c r="D21" s="13" t="s">
        <v>50</v>
      </c>
      <c r="E21" s="12" t="s">
        <v>53</v>
      </c>
      <c r="F21" s="12" t="s">
        <v>57</v>
      </c>
      <c r="G21" s="12" t="s">
        <v>67</v>
      </c>
      <c r="H21" s="12" t="s">
        <v>67</v>
      </c>
      <c r="I21" s="12" t="s">
        <v>40</v>
      </c>
      <c r="J21" s="12" t="s">
        <v>40</v>
      </c>
    </row>
    <row customHeight="1" ht="33" r="22">
      <c r="B22" s="12">
        <f>HYPERLINK("https://gesdoc.uis.edu.co/share/page/folder-details?nodeRef=workspace://SpacesStore/15a7bc19-c7e1-4354-97b5-c23d96663c87","0234_2026012135_2240")</f>
      </c>
      <c r="C22" s="12" t="s">
        <v>33</v>
      </c>
      <c r="D22" s="13" t="s">
        <v>50</v>
      </c>
      <c r="E22" s="12" t="s">
        <v>53</v>
      </c>
      <c r="F22" s="12" t="s">
        <v>57</v>
      </c>
      <c r="G22" s="12" t="s">
        <v>67</v>
      </c>
      <c r="H22" s="12" t="s">
        <v>67</v>
      </c>
      <c r="I22" s="12" t="s">
        <v>40</v>
      </c>
      <c r="J22" s="12" t="s">
        <v>40</v>
      </c>
    </row>
    <row customHeight="1" ht="33" r="23">
      <c r="B23" s="12">
        <f>HYPERLINK("https://gesdoc.uis.edu.co/share/page/folder-details?nodeRef=workspace://SpacesStore/042c7129-707e-42d1-8385-1bffdd0ddef4","0234_2026011935_2240")</f>
      </c>
      <c r="C23" s="12" t="s">
        <v>34</v>
      </c>
      <c r="D23" s="13" t="s">
        <v>50</v>
      </c>
      <c r="E23" s="12" t="s">
        <v>53</v>
      </c>
      <c r="F23" s="12" t="s">
        <v>57</v>
      </c>
      <c r="G23" s="12" t="s">
        <v>67</v>
      </c>
      <c r="H23" s="12" t="s">
        <v>67</v>
      </c>
      <c r="I23" s="12" t="s">
        <v>40</v>
      </c>
      <c r="J23" s="12" t="s">
        <v>40</v>
      </c>
    </row>
    <row customHeight="1" ht="33" r="24">
      <c r="B24" s="12">
        <f>HYPERLINK("https://gesdoc.uis.edu.co/share/page/folder-details?nodeRef=workspace://SpacesStore/db2f910e-cc25-4a9f-a90f-9996bdf43c71","0234_2026008766_9285")</f>
      </c>
      <c r="C24" s="12" t="s">
        <v>35</v>
      </c>
      <c r="D24" s="13" t="s">
        <v>46</v>
      </c>
      <c r="E24" s="12" t="s">
        <v>53</v>
      </c>
      <c r="F24" s="12" t="s">
        <v>57</v>
      </c>
      <c r="G24" s="12" t="s">
        <v>68</v>
      </c>
      <c r="H24" s="12" t="s">
        <v>68</v>
      </c>
      <c r="I24" s="12" t="s">
        <v>40</v>
      </c>
      <c r="J24" s="12" t="s">
        <v>40</v>
      </c>
    </row>
    <row customHeight="1" ht="33" r="25">
      <c r="B25" s="12">
        <f>HYPERLINK("https://gesdoc.uis.edu.co/share/page/folder-details?nodeRef=workspace://SpacesStore/11fdcbdd-2bb4-44d9-8605-6b01d67441cf","0234_2026007068_9285")</f>
      </c>
      <c r="C25" s="12" t="s">
        <v>36</v>
      </c>
      <c r="D25" s="13" t="s">
        <v>46</v>
      </c>
      <c r="E25" s="12" t="s">
        <v>53</v>
      </c>
      <c r="F25" s="12" t="s">
        <v>57</v>
      </c>
      <c r="G25" s="12" t="s">
        <v>68</v>
      </c>
      <c r="H25" s="12" t="s">
        <v>68</v>
      </c>
      <c r="I25" s="12" t="s">
        <v>40</v>
      </c>
      <c r="J25" s="12" t="s">
        <v>40</v>
      </c>
    </row>
    <row customHeight="1" ht="33" r="26">
      <c r="B26" s="12">
        <f>HYPERLINK("https://gesdoc.uis.edu.co/share/page/folder-details?nodeRef=workspace://SpacesStore/02a7a144-0f32-486f-b294-6da92e705f46","0234_2026007065_9285")</f>
      </c>
      <c r="C26" s="12" t="s">
        <v>37</v>
      </c>
      <c r="D26" s="13" t="s">
        <v>46</v>
      </c>
      <c r="E26" s="12" t="s">
        <v>53</v>
      </c>
      <c r="F26" s="12" t="s">
        <v>57</v>
      </c>
      <c r="G26" s="12" t="s">
        <v>68</v>
      </c>
      <c r="H26" s="12" t="s">
        <v>68</v>
      </c>
      <c r="I26" s="12" t="s">
        <v>40</v>
      </c>
      <c r="J26" s="12" t="s">
        <v>40</v>
      </c>
    </row>
    <row customHeight="1" ht="33" r="27">
      <c r="B27" s="12">
        <f>HYPERLINK("https://gesdoc.uis.edu.co/share/page/folder-details?nodeRef=workspace://SpacesStore/a1d20864-2208-4ccf-86d2-e919c31937cb","0234_2026000930_9285")</f>
      </c>
      <c r="C27" s="12" t="s">
        <v>38</v>
      </c>
      <c r="D27" s="13" t="s">
        <v>46</v>
      </c>
      <c r="E27" s="12" t="s">
        <v>53</v>
      </c>
      <c r="F27" s="12" t="s">
        <v>57</v>
      </c>
      <c r="G27" s="12" t="s">
        <v>68</v>
      </c>
      <c r="H27" s="12" t="s">
        <v>68</v>
      </c>
      <c r="I27" s="12" t="s">
        <v>40</v>
      </c>
      <c r="J27" s="12" t="s">
        <v>40</v>
      </c>
    </row>
    <row customHeight="1" ht="33" r="28">
      <c r="B28" s="12">
        <f>HYPERLINK("https://gesdoc.uis.edu.co/share/page/folder-details?nodeRef=workspace://SpacesStore/c6410684-1f4d-4f12-8eab-81768b019d6b","0234_2026007066_9285")</f>
      </c>
      <c r="C28" s="12" t="s">
        <v>39</v>
      </c>
      <c r="D28" s="13" t="s">
        <v>46</v>
      </c>
      <c r="E28" s="12" t="s">
        <v>53</v>
      </c>
      <c r="F28" s="12" t="s">
        <v>57</v>
      </c>
      <c r="G28" s="12" t="s">
        <v>68</v>
      </c>
      <c r="H28" s="12" t="s">
        <v>68</v>
      </c>
      <c r="I28" s="12" t="s">
        <v>40</v>
      </c>
      <c r="J28" s="12" t="s">
        <v>40</v>
      </c>
    </row>
    <row customHeight="1" ht="33" r="29">
      <c r="B29" s="12">
        <f>HYPERLINK("https://gesdoc.uis.edu.co/share/page/folder-details?nodeRef=workspace://SpacesStore/f594f226-160e-4e1c-bcd2-520e5c4c5d1b","2026012088_2250")</f>
      </c>
      <c r="C29" s="12" t="s">
        <v>40</v>
      </c>
      <c r="D29" s="13" t="s">
        <v>51</v>
      </c>
      <c r="E29" s="12" t="s">
        <v>53</v>
      </c>
      <c r="F29" s="12" t="s">
        <v>57</v>
      </c>
      <c r="G29" s="12" t="s">
        <v>69</v>
      </c>
      <c r="H29" s="12" t="s">
        <v>69</v>
      </c>
      <c r="I29" s="12" t="s">
        <v>40</v>
      </c>
      <c r="J29" s="12" t="s">
        <v>40</v>
      </c>
    </row>
    <row customHeight="1" ht="33" r="30">
      <c r="B30" s="12">
        <f>HYPERLINK("https://gesdoc.uis.edu.co/share/page/folder-details?nodeRef=workspace://SpacesStore/02a0956c-d5f4-44c1-93ad-f9df1a63272e","0020_2026000377_6861")</f>
      </c>
      <c r="C30" s="12" t="s">
        <v>41</v>
      </c>
      <c r="D30" s="13" t="s">
        <v>44</v>
      </c>
      <c r="E30" s="12" t="s">
        <v>53</v>
      </c>
      <c r="F30" s="12" t="s">
        <v>55</v>
      </c>
      <c r="G30" s="12" t="s">
        <v>70</v>
      </c>
      <c r="H30" s="12" t="s">
        <v>79</v>
      </c>
      <c r="I30" s="12" t="s">
        <v>40</v>
      </c>
      <c r="J30" s="12" t="s">
        <v>40</v>
      </c>
    </row>
    <row customHeight="1" ht="33" r="31">
      <c r="B31" s="12">
        <f>HYPERLINK("https://gesdoc.uis.edu.co/share/page/folder-details?nodeRef=workspace://SpacesStore/6a250c5d-a6eb-4ff1-abcd-565b45dbf0df","0018_2026002527_7017")</f>
      </c>
      <c r="C31" s="12" t="s">
        <v>42</v>
      </c>
      <c r="D31" s="13" t="s">
        <v>52</v>
      </c>
      <c r="E31" s="12" t="s">
        <v>53</v>
      </c>
      <c r="F31" s="12" t="s">
        <v>54</v>
      </c>
      <c r="G31" s="12" t="s">
        <v>71</v>
      </c>
      <c r="H31" s="12" t="s">
        <v>71</v>
      </c>
      <c r="I31" s="12" t="s">
        <v>40</v>
      </c>
      <c r="J31" s="12" t="s">
        <v>40</v>
      </c>
    </row>
    <row customHeight="1" ht="12.4" r="32">
      <c r="B32" s="10"/>
      <c r="C32" s="10"/>
      <c r="D32" s="10"/>
      <c r="E32" s="10"/>
      <c r="F32" s="10"/>
      <c r="G32" s="10"/>
      <c r="H32" s="10"/>
      <c r="I32" s="10"/>
      <c r="J32" s="10"/>
    </row>
    <row customHeight="1" ht="13.15" r="33">
      <c r="B33" s="10"/>
      <c r="C33" s="10"/>
      <c r="E33" s="10"/>
      <c r="F33" s="10"/>
      <c r="G33" s="10"/>
      <c r="H33" s="10"/>
      <c r="I33" s="10"/>
      <c r="J33" s="10"/>
    </row>
    <row customHeight="1" ht="13.5" r="34">
      <c r="B34" s="10"/>
      <c r="J34" s="10"/>
    </row>
    <row ht="12.75" r="35">
      <c r="B35" s="10"/>
      <c r="J35" s="10"/>
    </row>
    <row ht="12.75" r="36">
      <c r="B36" s="10"/>
      <c r="C36" s="10"/>
      <c r="D36" s="10"/>
      <c r="E36" s="10"/>
      <c r="F36" s="10"/>
      <c r="G36" s="10"/>
      <c r="H36" s="10"/>
      <c r="I36" s="10"/>
      <c r="J36" s="10"/>
    </row>
    <row ht="12.75" r="37">
      <c r="B37" s="10"/>
      <c r="C37" s="10"/>
      <c r="D37" s="10"/>
      <c r="E37" s="10"/>
      <c r="F37" s="10"/>
      <c r="G37" s="10"/>
      <c r="H37" s="10"/>
      <c r="I37" s="10"/>
      <c r="J37" s="10"/>
    </row>
    <row ht="12.75" r="38">
      <c r="B38" s="10"/>
      <c r="C38" s="10"/>
      <c r="D38" s="10"/>
      <c r="E38" s="10"/>
      <c r="F38" s="10"/>
      <c r="G38" s="10"/>
      <c r="H38" s="10"/>
      <c r="I38" s="10"/>
      <c r="J38" s="10"/>
    </row>
    <row ht="12.75" r="39">
      <c r="B39" s="10"/>
      <c r="C39" s="10"/>
      <c r="D39" s="10"/>
      <c r="E39" s="10"/>
      <c r="F39" s="10"/>
      <c r="G39" s="10"/>
      <c r="H39" s="10"/>
      <c r="I39" s="10"/>
      <c r="J39" s="10"/>
    </row>
    <row ht="12.75" r="40">
      <c r="B40" s="10"/>
      <c r="C40" s="10"/>
      <c r="D40" s="10"/>
      <c r="E40" s="10"/>
      <c r="F40" s="10"/>
      <c r="G40" s="10"/>
      <c r="H40" s="10"/>
      <c r="I40" s="10"/>
      <c r="J40" s="10"/>
    </row>
    <row ht="12.75" r="41">
      <c r="B41" s="10"/>
      <c r="C41" s="10"/>
      <c r="D41" s="10"/>
      <c r="E41" s="10"/>
      <c r="F41" s="10"/>
      <c r="G41" s="10"/>
      <c r="H41" s="10"/>
      <c r="I41" s="10"/>
      <c r="J41" s="10"/>
    </row>
    <row ht="12.75" r="42">
      <c r="B42" s="10"/>
      <c r="C42" s="10"/>
      <c r="D42" s="10"/>
      <c r="E42" s="10"/>
      <c r="F42" s="10"/>
      <c r="G42" s="10"/>
      <c r="H42" s="10"/>
      <c r="I42" s="10"/>
      <c r="J42" s="10"/>
    </row>
    <row ht="12.75" r="43">
      <c r="B43" s="10"/>
      <c r="C43" s="10"/>
      <c r="D43" s="10"/>
      <c r="E43" s="10"/>
      <c r="F43" s="10"/>
      <c r="G43" s="10"/>
      <c r="H43" s="10"/>
      <c r="I43" s="10"/>
      <c r="J43" s="10"/>
    </row>
    <row customHeight="1" ht="12.4" r="44">
      <c r="B44" s="10"/>
      <c r="C44" s="10"/>
      <c r="D44" s="10"/>
      <c r="E44" s="10"/>
      <c r="F44" s="10"/>
      <c r="G44" s="10"/>
      <c r="H44" s="10"/>
      <c r="I44" s="10"/>
      <c r="J44" s="10"/>
    </row>
    <row ht="12.75" r="45">
      <c r="B45" s="10"/>
      <c r="C45" s="10"/>
      <c r="D45" s="10"/>
      <c r="E45" s="10"/>
      <c r="F45" s="10"/>
      <c r="G45" s="10"/>
      <c r="H45" s="10"/>
      <c r="I45" s="10"/>
      <c r="J45" s="10"/>
    </row>
    <row ht="12.75" r="46">
      <c r="B46" s="10"/>
      <c r="C46" s="10"/>
      <c r="D46" s="10"/>
      <c r="E46" s="10"/>
      <c r="F46" s="10"/>
      <c r="G46" s="10"/>
      <c r="H46" s="10"/>
      <c r="I46" s="10"/>
      <c r="J46" s="10"/>
    </row>
    <row ht="12.75" r="47">
      <c r="B47" s="10"/>
      <c r="C47" s="10"/>
      <c r="D47" s="10"/>
      <c r="E47" s="10"/>
      <c r="F47" s="10"/>
      <c r="G47" s="10"/>
      <c r="H47" s="10"/>
      <c r="I47" s="10"/>
      <c r="J47" s="10"/>
    </row>
    <row ht="12.75" r="48">
      <c r="B48" s="10"/>
      <c r="C48" s="10"/>
      <c r="D48" s="10"/>
      <c r="E48" s="10"/>
      <c r="F48" s="10"/>
      <c r="G48" s="10"/>
      <c r="H48" s="10"/>
      <c r="I48" s="10"/>
      <c r="J48" s="10"/>
    </row>
    <row ht="12.75" r="49">
      <c r="B49" s="10"/>
      <c r="C49" s="10"/>
      <c r="D49" s="10"/>
      <c r="E49" s="10"/>
      <c r="F49" s="10"/>
      <c r="G49" s="10"/>
      <c r="H49" s="10"/>
      <c r="I49" s="10"/>
      <c r="J49" s="10"/>
    </row>
    <row ht="12.75" r="50">
      <c r="B50" s="10"/>
      <c r="C50" s="10"/>
      <c r="D50" s="10"/>
      <c r="E50" s="10"/>
      <c r="F50" s="10"/>
      <c r="G50" s="10"/>
      <c r="H50" s="10"/>
      <c r="I50" s="10"/>
      <c r="J50" s="10"/>
    </row>
    <row ht="12.75" r="51">
      <c r="B51" s="10"/>
      <c r="C51" s="10"/>
      <c r="D51" s="10"/>
      <c r="E51" s="10"/>
      <c r="F51" s="10"/>
      <c r="G51" s="10"/>
      <c r="H51" s="10"/>
      <c r="I51" s="10"/>
      <c r="J51" s="10"/>
    </row>
    <row ht="12.75" r="52">
      <c r="B52" s="10"/>
      <c r="C52" s="10"/>
      <c r="D52" s="10"/>
      <c r="E52" s="10"/>
      <c r="F52" s="10"/>
      <c r="G52" s="10"/>
      <c r="H52" s="10"/>
      <c r="I52" s="10"/>
      <c r="J52" s="10"/>
    </row>
    <row ht="12.75" r="53">
      <c r="B53" s="10"/>
      <c r="C53" s="10"/>
      <c r="D53" s="10"/>
      <c r="E53" s="10"/>
      <c r="F53" s="10"/>
      <c r="G53" s="10"/>
      <c r="H53" s="10"/>
      <c r="I53" s="10"/>
      <c r="J53" s="10"/>
    </row>
    <row customHeight="1" ht="12.4" r="54">
      <c r="B54" s="10"/>
      <c r="C54" s="10"/>
      <c r="D54" s="10"/>
      <c r="E54" s="10"/>
      <c r="F54" s="10"/>
      <c r="G54" s="10"/>
      <c r="H54" s="10"/>
      <c r="I54" s="10"/>
      <c r="J54" s="10"/>
    </row>
    <row customHeight="1" ht="12.4" r="55">
      <c r="B55" s="10"/>
      <c r="C55" s="10"/>
      <c r="D55" s="10"/>
      <c r="E55" s="10"/>
      <c r="F55" s="10"/>
      <c r="G55" s="10"/>
      <c r="H55" s="10"/>
      <c r="I55" s="10"/>
      <c r="J55" s="10"/>
    </row>
    <row ht="12.75" r="56">
      <c r="B56" s="10"/>
      <c r="C56" s="10"/>
      <c r="D56" s="10"/>
      <c r="E56" s="10"/>
      <c r="F56" s="10"/>
      <c r="G56" s="10"/>
      <c r="H56" s="10"/>
      <c r="I56" s="10"/>
      <c r="J56" s="10"/>
    </row>
    <row customHeight="1" ht="12.4" r="57">
      <c r="B57" s="10"/>
      <c r="C57" s="10"/>
      <c r="D57" s="10"/>
      <c r="E57" s="10"/>
      <c r="F57" s="10"/>
      <c r="G57" s="10"/>
      <c r="H57" s="10"/>
      <c r="I57" s="10"/>
      <c r="J57" s="10"/>
    </row>
    <row customHeight="1" ht="12.4" r="58">
      <c r="B58" s="10"/>
      <c r="C58" s="10"/>
      <c r="D58" s="10"/>
      <c r="E58" s="10"/>
      <c r="F58" s="10"/>
      <c r="G58" s="10"/>
      <c r="H58" s="10"/>
      <c r="I58" s="10"/>
      <c r="J58" s="10"/>
    </row>
    <row customHeight="1" ht="13.15" r="59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ht="12.75" r="60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ht="12.75" r="61">
      <c r="A61" s="10"/>
      <c r="B61" s="10"/>
      <c r="C61" s="10"/>
      <c r="D61" s="10"/>
      <c r="E61" s="10"/>
      <c r="F61" s="10"/>
      <c r="G61" s="10"/>
      <c r="H61" s="10"/>
      <c r="I61" s="10"/>
      <c r="J61" s="10"/>
    </row>
    <row ht="12.75" r="62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ht="12.75" r="63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ht="12.75" r="64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ht="12.75" r="65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ht="12.75" r="66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ht="12.75" r="67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customHeight="1" ht="12.4" r="68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ht="12.75" r="69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ht="12.75" r="70">
      <c r="A70" s="10"/>
      <c r="B70" s="10"/>
      <c r="C70" s="10"/>
      <c r="D70" s="10"/>
      <c r="E70" s="10"/>
      <c r="F70" s="10"/>
      <c r="G70" s="10"/>
      <c r="H70" s="10"/>
      <c r="I70" s="10"/>
      <c r="J70" s="10"/>
    </row>
    <row ht="12.75" r="71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ht="12.75" r="72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ht="12.75" r="73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ht="12.75" r="74">
      <c r="A74" s="10"/>
      <c r="B74" s="10"/>
      <c r="C74" s="10"/>
      <c r="D74" s="10"/>
      <c r="E74" s="10"/>
      <c r="F74" s="10"/>
      <c r="G74" s="10"/>
      <c r="H74" s="10"/>
      <c r="I74" s="10"/>
      <c r="J74" s="10"/>
    </row>
    <row ht="12.75" r="75">
      <c r="A75" s="10"/>
      <c r="B75" s="10"/>
      <c r="C75" s="10"/>
      <c r="D75" s="10"/>
      <c r="E75" s="10"/>
      <c r="F75" s="10"/>
      <c r="G75" s="10"/>
      <c r="H75" s="10"/>
      <c r="I75" s="10"/>
      <c r="J75" s="10"/>
    </row>
    <row ht="12.75" r="76">
      <c r="A76" s="10"/>
      <c r="B76" s="10"/>
      <c r="C76" s="10"/>
      <c r="D76" s="10"/>
      <c r="E76" s="10"/>
      <c r="F76" s="10"/>
      <c r="G76" s="10"/>
      <c r="H76" s="10"/>
      <c r="I76" s="10"/>
      <c r="J76" s="10"/>
    </row>
    <row ht="12.75" r="77">
      <c r="A77" s="10"/>
      <c r="B77" s="10"/>
      <c r="C77" s="10"/>
      <c r="D77" s="10"/>
      <c r="E77" s="10"/>
      <c r="F77" s="10"/>
      <c r="G77" s="10"/>
      <c r="H77" s="10"/>
      <c r="I77" s="10"/>
      <c r="J77" s="10"/>
    </row>
    <row ht="12.75" r="78">
      <c r="A78" s="10"/>
      <c r="B78" s="10"/>
      <c r="C78" s="10"/>
      <c r="D78" s="10"/>
      <c r="E78" s="10"/>
      <c r="F78" s="10"/>
      <c r="G78" s="10"/>
      <c r="H78" s="10"/>
      <c r="I78" s="10"/>
      <c r="J78" s="10"/>
    </row>
    <row ht="12.75" r="79">
      <c r="A79" s="10"/>
      <c r="B79" s="10"/>
      <c r="C79" s="10"/>
      <c r="D79" s="10"/>
      <c r="E79" s="10"/>
      <c r="F79" s="10"/>
      <c r="G79" s="10"/>
      <c r="H79" s="10"/>
      <c r="I79" s="10"/>
      <c r="J79" s="10"/>
    </row>
    <row ht="12.75" r="80">
      <c r="A80" s="10"/>
      <c r="B80" s="10"/>
      <c r="C80" s="10"/>
      <c r="D80" s="10"/>
      <c r="E80" s="10"/>
      <c r="F80" s="10"/>
      <c r="G80" s="10"/>
      <c r="H80" s="10"/>
      <c r="I80" s="10"/>
      <c r="J80" s="10"/>
    </row>
    <row ht="12.75" r="81">
      <c r="A81" s="10"/>
      <c r="B81" s="10"/>
      <c r="C81" s="10"/>
      <c r="D81" s="10"/>
      <c r="E81" s="10"/>
      <c r="F81" s="10"/>
      <c r="G81" s="10"/>
      <c r="H81" s="10"/>
      <c r="I81" s="10"/>
      <c r="J81" s="10"/>
    </row>
    <row ht="12.75" r="82">
      <c r="A82" s="10"/>
      <c r="B82" s="10"/>
      <c r="C82" s="10"/>
      <c r="D82" s="10"/>
      <c r="E82" s="10"/>
      <c r="F82" s="10"/>
      <c r="G82" s="10"/>
      <c r="H82" s="10"/>
      <c r="I82" s="10"/>
      <c r="J82" s="10"/>
    </row>
    <row ht="12.75" r="83">
      <c r="A83" s="10"/>
      <c r="B83" s="10"/>
      <c r="C83" s="10"/>
      <c r="D83" s="10"/>
      <c r="E83" s="10"/>
      <c r="F83" s="10"/>
      <c r="G83" s="10"/>
      <c r="H83" s="10"/>
      <c r="I83" s="10"/>
      <c r="J83" s="10"/>
    </row>
    <row ht="12.75" r="84">
      <c r="A84" s="10"/>
      <c r="B84" s="10"/>
      <c r="C84" s="10"/>
      <c r="D84" s="10"/>
      <c r="E84" s="10"/>
      <c r="F84" s="10"/>
      <c r="G84" s="10"/>
      <c r="H84" s="10"/>
      <c r="I84" s="10"/>
      <c r="J84" s="10"/>
    </row>
    <row ht="12.75" r="85">
      <c r="A85" s="10"/>
      <c r="B85" s="10"/>
      <c r="C85" s="10"/>
      <c r="D85" s="10"/>
      <c r="E85" s="10"/>
      <c r="F85" s="10"/>
      <c r="G85" s="10"/>
      <c r="H85" s="10"/>
      <c r="I85" s="10"/>
      <c r="J85" s="10"/>
    </row>
    <row ht="12.75" r="86">
      <c r="A86" s="10"/>
      <c r="B86" s="10"/>
      <c r="C86" s="10"/>
      <c r="D86" s="10"/>
      <c r="E86" s="10"/>
      <c r="F86" s="10"/>
      <c r="G86" s="10"/>
      <c r="H86" s="10"/>
      <c r="I86" s="10"/>
      <c r="J86" s="10"/>
    </row>
    <row ht="12.75" r="87">
      <c r="A87" s="10"/>
      <c r="B87" s="10"/>
      <c r="C87" s="10"/>
      <c r="D87" s="10"/>
      <c r="E87" s="10"/>
      <c r="F87" s="10"/>
      <c r="G87" s="10"/>
      <c r="H87" s="10"/>
      <c r="I87" s="10"/>
      <c r="J87" s="10"/>
    </row>
    <row ht="12.75" r="88">
      <c r="A88" s="10"/>
      <c r="B88" s="10"/>
      <c r="C88" s="10"/>
      <c r="D88" s="10"/>
      <c r="E88" s="10"/>
      <c r="F88" s="10"/>
      <c r="G88" s="10"/>
      <c r="H88" s="10"/>
      <c r="I88" s="10"/>
      <c r="J88" s="10"/>
    </row>
    <row ht="12.75" r="89">
      <c r="A89" s="10"/>
      <c r="B89" s="10"/>
      <c r="C89" s="10"/>
      <c r="D89" s="10"/>
      <c r="E89" s="10"/>
      <c r="F89" s="10"/>
      <c r="G89" s="10"/>
      <c r="H89" s="10"/>
      <c r="I89" s="10"/>
      <c r="J89" s="10"/>
    </row>
    <row ht="12.75" r="90">
      <c r="A90" s="10"/>
      <c r="B90" s="10"/>
      <c r="C90" s="10"/>
      <c r="D90" s="10"/>
      <c r="E90" s="10"/>
      <c r="F90" s="10"/>
      <c r="G90" s="10"/>
      <c r="H90" s="10"/>
      <c r="I90" s="10"/>
      <c r="J90" s="10"/>
    </row>
    <row ht="12.75" r="91">
      <c r="A91" s="10"/>
      <c r="B91" s="10"/>
      <c r="C91" s="10"/>
      <c r="D91" s="10"/>
      <c r="E91" s="10"/>
      <c r="F91" s="10"/>
      <c r="G91" s="10"/>
      <c r="H91" s="10"/>
      <c r="I91" s="10"/>
      <c r="J91" s="10"/>
    </row>
    <row ht="12.75" r="92">
      <c r="A92" s="10"/>
      <c r="B92" s="10"/>
      <c r="C92" s="10"/>
      <c r="D92" s="10"/>
      <c r="E92" s="10"/>
      <c r="F92" s="10"/>
      <c r="G92" s="10"/>
      <c r="H92" s="10"/>
      <c r="I92" s="10"/>
      <c r="J92" s="10"/>
    </row>
    <row ht="12.75" r="93">
      <c r="A93" s="10"/>
      <c r="B93" s="10"/>
      <c r="C93" s="10"/>
      <c r="D93" s="10"/>
      <c r="E93" s="10"/>
      <c r="F93" s="10"/>
      <c r="G93" s="10"/>
      <c r="H93" s="10"/>
      <c r="I93" s="10"/>
      <c r="J93" s="10"/>
    </row>
    <row ht="12.75" r="94">
      <c r="A94" s="10"/>
      <c r="B94" s="10"/>
      <c r="C94" s="10"/>
      <c r="D94" s="10"/>
      <c r="E94" s="10"/>
      <c r="F94" s="10"/>
      <c r="G94" s="10"/>
      <c r="H94" s="10"/>
      <c r="I94" s="10"/>
      <c r="J94" s="10"/>
    </row>
    <row ht="12.75" r="95">
      <c r="A95" s="10"/>
      <c r="B95" s="10"/>
      <c r="C95" s="10"/>
      <c r="D95" s="10"/>
      <c r="E95" s="10"/>
      <c r="F95" s="10"/>
      <c r="G95" s="10"/>
      <c r="H95" s="10"/>
      <c r="I95" s="10"/>
      <c r="J95" s="10"/>
    </row>
    <row ht="12.75" r="96">
      <c r="A96" s="10"/>
      <c r="B96" s="10"/>
      <c r="C96" s="10"/>
      <c r="D96" s="10"/>
      <c r="E96" s="10"/>
      <c r="F96" s="10"/>
      <c r="G96" s="10"/>
      <c r="H96" s="10"/>
      <c r="I96" s="10"/>
      <c r="J96" s="10"/>
    </row>
    <row ht="12.75" r="97">
      <c r="A97" s="10"/>
      <c r="B97" s="10"/>
      <c r="C97" s="10"/>
      <c r="D97" s="10"/>
      <c r="E97" s="10"/>
      <c r="F97" s="10"/>
      <c r="G97" s="10"/>
      <c r="H97" s="10"/>
      <c r="I97" s="10"/>
      <c r="J97" s="10"/>
    </row>
    <row ht="12.75" r="98">
      <c r="A98" s="10"/>
      <c r="B98" s="10"/>
      <c r="C98" s="10"/>
      <c r="D98" s="10"/>
      <c r="E98" s="10"/>
      <c r="F98" s="10"/>
      <c r="G98" s="10"/>
      <c r="H98" s="10"/>
      <c r="I98" s="10"/>
      <c r="J98" s="10"/>
    </row>
    <row ht="12.75" r="99">
      <c r="A99" s="10"/>
      <c r="B99" s="10"/>
      <c r="C99" s="10"/>
      <c r="D99" s="10"/>
      <c r="E99" s="10"/>
      <c r="F99" s="10"/>
      <c r="G99" s="10"/>
      <c r="H99" s="10"/>
      <c r="I99" s="10"/>
      <c r="J99" s="10"/>
    </row>
    <row ht="12.75"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ht="12.75"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ht="12.75"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ht="12.75"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ht="12.75"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ht="12.75"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ht="12.75"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ht="12.75"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ht="12.75"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ht="12.75"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ht="12.75"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ht="12.75"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ht="12.75"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ht="12.75"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ht="12.75"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ht="12.75"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ht="12.75"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ht="12.75"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ht="12.75"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ht="12.75"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ht="12.75"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ht="12.75"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ht="12.75"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ht="12.75"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ht="12.75"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ht="12.75"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ht="12.75"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ht="12.75"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ht="12.75"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ht="12.75"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ht="12.75"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ht="12.75"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ht="12.75"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ht="12.75"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ht="12.75"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ht="12.75"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ht="12.75"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ht="12.75"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ht="12.75"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ht="12.75"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ht="12.75"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ht="12.75"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ht="12.75"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ht="12.75"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ht="12.75"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ht="12.75"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ht="12.75"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ht="12.75"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ht="12.75"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ht="12.75"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ht="12.75"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ht="12.75"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ht="12.75"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ht="12.75"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ht="12.75"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ht="12.75"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ht="12.75"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ht="12.75"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ht="12.75"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ht="12.75"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ht="12.75"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ht="12.75"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ht="12.75"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ht="12.75"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ht="12.75"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ht="12.75"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ht="12.75"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ht="12.75"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ht="12.75"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ht="12.75"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ht="12.75"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ht="12.75"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ht="12.75"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ht="12.75"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ht="12.75"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ht="12.75"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ht="12.75"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ht="12.75"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ht="12.75"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ht="12.75"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ht="12.75"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ht="12.75"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ht="12.75"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ht="12.75"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ht="12.75"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ht="12.75"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ht="12.75"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ht="12.75"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ht="12.75"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ht="12.75"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ht="12.75"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ht="12.75"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ht="12.75"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ht="12.75"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ht="12.75"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ht="12.75"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ht="12.75"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ht="12.75"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ht="12.75"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ht="12.75"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ht="12.75"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ht="12.75"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ht="12.75"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ht="12.75"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ht="12.75"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ht="12.75"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ht="12.75"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ht="12.75"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ht="12.75"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ht="12.75"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ht="12.75"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ht="12.75"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ht="12.75"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ht="12.75"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ht="12.75"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ht="12.75"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ht="12.75"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ht="12.75"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ht="12.75"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ht="12.75"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ht="12.75"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ht="12.75"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ht="12.75"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ht="12.75"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ht="12.75"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ht="12.75"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ht="12.75"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ht="12.75"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ht="12.75"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ht="12.75"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ht="12.75"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ht="12.75"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ht="12.75"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ht="12.75"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ht="12.75"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ht="12.75"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ht="12.75"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ht="12.75"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ht="12.75"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ht="12.75"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ht="12.75"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ht="12.75"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ht="12.75"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ht="12.75"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ht="12.75"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ht="12.75"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ht="12.75"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ht="12.75"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ht="12.75"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ht="12.75"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ht="12.75"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ht="12.75"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ht="12.75"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ht="12.75"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ht="12.75"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ht="12.75"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ht="12.75"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ht="12.75"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ht="12.75"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ht="12.75"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ht="12.75"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ht="12.75"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ht="12.75"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ht="12.75"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ht="12.75"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ht="12.75"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ht="12.75"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ht="12.75"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ht="12.75"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ht="12.75"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ht="12.75"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ht="12.75"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ht="12.75"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ht="12.75"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ht="12.75"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ht="12.75"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ht="12.75"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ht="12.75"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ht="12.75"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ht="12.75"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ht="12.75"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ht="12.75"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ht="12.75"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ht="12.75"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ht="12.75"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ht="12.75"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ht="12.75"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ht="12.75"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ht="12.75"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ht="12.75"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ht="12.75"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ht="12.75"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ht="12.75"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ht="12.75"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ht="12.75"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ht="12.75"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ht="12.75"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ht="12.75"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ht="12.75"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ht="12.75"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ht="12.75"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ht="12.75"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ht="12.75"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ht="12.75"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ht="12.75"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ht="12.75"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ht="12.75"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ht="12.75"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ht="12.75"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ht="12.75"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ht="12.75"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ht="12.75"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ht="12.75"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ht="12.75"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ht="12.75"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ht="12.75"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ht="12.75"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ht="12.75"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ht="12.75"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ht="12.75"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ht="12.75"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ht="12.75"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ht="12.75"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ht="12.75"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ht="12.75"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ht="12.75"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ht="12.75"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ht="12.75"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ht="12.75"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ht="12.75"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ht="12.75"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ht="12.75"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ht="12.75"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ht="12.75"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ht="12.75"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ht="12.75"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ht="12.75"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ht="12.75"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ht="12.75"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ht="12.75"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ht="12.75"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ht="12.75"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ht="12.75"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ht="12.75"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ht="12.75"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ht="12.75"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ht="12.75"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ht="12.75"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ht="12.75"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ht="12.75"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ht="12.75"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ht="12.75"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ht="12.75"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ht="12.75"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ht="12.75"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</row>
    <row ht="12.75"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</row>
    <row ht="12.75"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</row>
    <row ht="12.75"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</row>
    <row ht="12.75"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</row>
    <row ht="12.75"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</row>
    <row ht="12.75"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</row>
    <row ht="12.75"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</row>
    <row ht="12.75"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</row>
    <row ht="12.75"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</row>
    <row ht="12.75"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</row>
    <row ht="12.75"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</row>
    <row ht="12.75"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</row>
    <row ht="12.75"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</row>
    <row ht="12.75"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</row>
    <row ht="12.75"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</row>
    <row ht="12.75"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</row>
    <row ht="12.75"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</row>
    <row ht="12.75"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</row>
    <row ht="12.75"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</row>
    <row ht="12.75"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</row>
    <row ht="12.75"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</row>
    <row ht="12.75"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</row>
    <row ht="12.75"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</row>
    <row ht="12.75"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</row>
    <row ht="12.75"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</row>
    <row ht="12.75"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</row>
    <row ht="12.75"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</row>
    <row ht="12.75"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</row>
    <row ht="12.75"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</row>
    <row ht="12.75"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</row>
    <row ht="12.75"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</row>
    <row ht="12.75"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</row>
    <row ht="12.75"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</row>
    <row ht="12.75"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</row>
    <row ht="12.75"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</row>
    <row ht="12.75"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</row>
    <row ht="12.75"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</row>
    <row ht="12.75"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</row>
    <row ht="12.75"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</row>
    <row ht="12.75"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</row>
    <row ht="12.75"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</row>
    <row ht="12.75"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</row>
    <row ht="12.75"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</row>
    <row ht="12.75"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</row>
    <row ht="12.75"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</row>
    <row ht="12.75"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</row>
    <row ht="12.75"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</row>
    <row ht="12.75"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</row>
    <row ht="12.75"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</row>
    <row ht="12.75"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</row>
    <row ht="12.75"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</row>
    <row ht="12.75"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</row>
    <row ht="12.75"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</row>
    <row ht="12.75"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</row>
    <row ht="12.75"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</row>
    <row ht="12.75"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</row>
    <row ht="12.75"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</row>
    <row ht="12.75"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</row>
    <row ht="12.75"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</row>
    <row ht="12.75"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</row>
    <row ht="12.75"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</row>
    <row ht="12.75"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</row>
    <row ht="12.75"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</row>
    <row ht="12.75"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</row>
    <row ht="12.75"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</row>
    <row ht="12.75"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</row>
    <row ht="12.75"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</row>
    <row ht="12.75"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</row>
    <row ht="12.75"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</row>
    <row ht="12.75"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</row>
    <row ht="12.75"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</row>
    <row ht="12.75"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</row>
    <row ht="12.75"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</row>
    <row ht="12.75"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</row>
    <row ht="12.75"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</row>
    <row ht="12.75"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</row>
    <row ht="12.75"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</row>
    <row ht="12.75"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</row>
    <row ht="12.75"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</row>
    <row ht="12.75"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</row>
    <row ht="12.75"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</row>
    <row ht="12.75"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</row>
    <row ht="12.75"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</row>
    <row ht="12.75"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</row>
    <row ht="12.75"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</row>
    <row ht="12.75"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</row>
    <row ht="12.75"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</row>
    <row ht="12.75"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</row>
    <row ht="12.75"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</row>
    <row ht="12.75"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</row>
    <row ht="12.75"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</row>
    <row ht="12.75"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</row>
    <row ht="12.75"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</row>
    <row ht="12.75"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</row>
    <row ht="12.75"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</row>
    <row ht="12.75"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</row>
    <row ht="12.75"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</row>
    <row ht="12.75"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</row>
    <row ht="12.75"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</row>
    <row ht="12.75"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</row>
    <row ht="12.75"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</row>
    <row ht="12.75"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</row>
    <row ht="12.75"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</row>
    <row ht="12.75"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</row>
    <row ht="12.75"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</row>
    <row ht="12.75"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</row>
    <row ht="12.75"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</row>
    <row ht="12.75"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</row>
    <row ht="12.75"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</row>
    <row ht="12.75"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</row>
    <row ht="12.75"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</row>
    <row ht="12.75"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</row>
    <row ht="12.75"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</row>
    <row ht="12.75"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</row>
    <row ht="12.75"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</row>
    <row ht="12.75"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</row>
    <row ht="12.75"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</row>
    <row ht="12.75"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</row>
    <row ht="12.75"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</row>
    <row ht="12.75"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</row>
    <row ht="12.75"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</row>
    <row ht="12.75"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</row>
    <row ht="12.75"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</row>
    <row ht="12.75"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</row>
    <row ht="12.75"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</row>
    <row ht="12.75"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</row>
    <row ht="12.75"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</row>
    <row ht="12.75"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</row>
    <row ht="12.75"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</row>
    <row ht="12.75"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</row>
    <row ht="12.75"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</row>
    <row ht="12.75"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</row>
    <row ht="12.75"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</row>
    <row ht="12.75"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</row>
    <row ht="12.75"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</row>
    <row ht="12.75"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</row>
    <row ht="12.75"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</row>
    <row ht="12.75"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</row>
    <row ht="12.75"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</row>
    <row ht="12.75"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</row>
    <row ht="12.75"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</row>
    <row ht="12.75"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</row>
    <row ht="12.75"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</row>
    <row ht="12.75"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</row>
    <row ht="12.75"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</row>
    <row ht="12.75"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</row>
    <row ht="12.75"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</row>
    <row ht="12.75"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</row>
    <row ht="12.75"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</row>
    <row ht="12.75"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</row>
    <row ht="12.75"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</row>
    <row ht="12.75"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</row>
    <row ht="12.75"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</row>
    <row ht="12.75"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</row>
    <row ht="12.75"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</row>
    <row ht="12.75"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</row>
    <row ht="12.75"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</row>
    <row ht="12.75"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</row>
    <row ht="12.75"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</row>
    <row ht="12.75"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</row>
    <row ht="12.75"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</row>
    <row ht="12.75"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</row>
    <row ht="12.75"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</row>
    <row ht="12.75"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</row>
    <row ht="12.75"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</row>
    <row ht="12.75"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</row>
    <row ht="12.75"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</row>
    <row ht="12.75"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</row>
    <row ht="12.75"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</row>
    <row ht="12.75"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</row>
    <row ht="12.75"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</row>
    <row ht="12.75"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</row>
    <row ht="12.75"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</row>
    <row ht="12.75"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</row>
    <row ht="12.75"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</row>
    <row ht="12.75"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</row>
    <row ht="12.75"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</row>
    <row ht="12.75"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</row>
    <row ht="12.75"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</row>
    <row ht="12.75"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</row>
    <row ht="12.75"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</row>
    <row ht="12.75"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</row>
    <row ht="12.75"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</row>
    <row ht="12.75"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</row>
    <row ht="12.75"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</row>
    <row ht="12.75"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</row>
    <row ht="12.75"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</row>
    <row ht="12.75"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</row>
    <row ht="12.75"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</row>
    <row ht="12.75"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</row>
    <row ht="12.75"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</row>
    <row ht="12.75"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</row>
    <row ht="12.75"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</row>
    <row ht="12.75"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</row>
    <row ht="12.75"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</row>
    <row ht="12.75"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</row>
    <row ht="12.75"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</row>
    <row ht="12.75"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</row>
    <row ht="12.75"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</row>
    <row ht="12.75"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</row>
    <row ht="12.75"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</row>
    <row ht="12.75"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</row>
    <row ht="12.75"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</row>
    <row ht="12.75"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</row>
    <row ht="12.75"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</row>
    <row ht="12.75"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</row>
    <row ht="12.75"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</row>
    <row ht="12.75"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</row>
    <row ht="12.75"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</row>
    <row ht="12.75"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</row>
    <row ht="12.75"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</row>
    <row ht="12.75"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</row>
    <row ht="12.75"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</row>
    <row ht="12.75"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</row>
    <row ht="12.75"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</row>
    <row ht="12.75"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</row>
    <row ht="12.75"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</row>
    <row ht="12.75"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</row>
    <row ht="12.75"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</row>
    <row ht="12.75"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</row>
    <row ht="12.75"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</row>
    <row ht="12.75"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</row>
    <row ht="12.75"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</row>
    <row ht="12.75"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</row>
    <row ht="12.75"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</row>
    <row ht="12.75"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</row>
    <row ht="12.75"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</row>
    <row ht="12.75"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</row>
    <row ht="12.75"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</row>
    <row ht="12.75"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</row>
    <row ht="12.75"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</row>
    <row ht="12.75"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</row>
    <row ht="12.75"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</row>
    <row ht="12.75"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</row>
    <row ht="12.75"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</row>
    <row ht="12.75"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</row>
    <row ht="12.75"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</row>
    <row ht="12.75"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</row>
    <row ht="12.75"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</row>
    <row ht="12.75"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</row>
    <row ht="12.75"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</row>
    <row ht="12.75"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</row>
    <row ht="12.75"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</row>
    <row ht="12.75"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</row>
    <row ht="12.75"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</row>
    <row ht="12.75"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</row>
    <row ht="12.75"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</row>
    <row ht="12.75"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</row>
    <row ht="12.75"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</row>
    <row ht="12.75"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</row>
    <row ht="12.75"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</row>
    <row ht="12.75"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</row>
    <row ht="12.75"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</row>
    <row ht="12.75"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</row>
    <row ht="12.75"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</row>
    <row ht="12.75"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</row>
    <row ht="12.75"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</row>
    <row ht="12.75"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</row>
    <row ht="12.75"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</row>
    <row ht="12.75"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</row>
    <row ht="12.75"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</row>
    <row ht="12.75"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</row>
    <row ht="12.75"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</row>
    <row ht="12.75"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</row>
    <row ht="12.75"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</row>
    <row ht="12.75"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</row>
    <row ht="12.75"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</row>
    <row ht="12.75"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</row>
    <row ht="12.75"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</row>
    <row ht="12.75"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</row>
    <row ht="12.75"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</row>
    <row ht="12.75"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</row>
    <row ht="12.75"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</row>
    <row ht="12.75"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</row>
    <row ht="12.75"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</row>
    <row ht="12.75"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</row>
    <row ht="12.75"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</row>
    <row ht="12.75"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</row>
    <row ht="12.75"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</row>
    <row ht="12.75"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</row>
    <row ht="12.75"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</row>
    <row ht="12.75"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</row>
    <row ht="12.75"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</row>
    <row ht="12.75"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</row>
    <row ht="12.75"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</row>
    <row ht="12.75"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</row>
    <row ht="12.75"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</row>
    <row ht="12.75"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</row>
    <row ht="12.75"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</row>
    <row ht="12.75"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</row>
    <row ht="12.75"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</row>
    <row ht="12.75"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</row>
    <row ht="12.75"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</row>
    <row ht="12.75"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</row>
    <row ht="12.75"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</row>
    <row ht="12.75"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</row>
    <row ht="12.75"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</row>
    <row ht="12.75"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</row>
    <row ht="12.75"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</row>
    <row ht="12.75"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</row>
    <row ht="12.75"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</row>
    <row ht="12.75"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</row>
    <row ht="12.75"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</row>
    <row ht="12.75"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</row>
    <row ht="12.75"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</row>
    <row ht="12.75"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</row>
    <row ht="12.75"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</row>
    <row ht="12.75"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</row>
    <row ht="12.75"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</row>
    <row ht="12.75"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</row>
    <row ht="12.75"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</row>
    <row ht="12.75"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</row>
    <row ht="12.75"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</row>
    <row ht="12.75"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</row>
    <row ht="12.75"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</row>
    <row ht="12.75"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</row>
    <row ht="12.75"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</row>
    <row ht="12.75"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</row>
    <row ht="12.75"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</row>
    <row ht="12.75"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</row>
    <row ht="12.75"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</row>
    <row ht="12.75"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</row>
    <row ht="12.75"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</row>
    <row ht="12.75"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</row>
    <row ht="12.75"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</row>
    <row ht="12.75"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</row>
    <row ht="12.75"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</row>
    <row ht="12.75"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</row>
    <row ht="12.75"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</row>
    <row ht="12.75"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</row>
    <row ht="12.75"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</row>
    <row ht="12.75"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</row>
    <row ht="12.75"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</row>
    <row ht="12.75"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</row>
    <row ht="12.75"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</row>
    <row ht="12.75"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</row>
    <row ht="12.75"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</row>
    <row ht="12.75"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</row>
    <row ht="12.75"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</row>
    <row ht="12.75"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</row>
    <row ht="12.75"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</row>
    <row ht="12.75"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</row>
    <row ht="12.75"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</row>
    <row ht="12.75"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</row>
    <row ht="12.75"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</row>
    <row ht="12.75"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</row>
    <row ht="12.75"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</row>
    <row ht="12.75"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</row>
    <row ht="12.75"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</row>
    <row ht="12.75"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</row>
    <row ht="12.75"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ht="12.75"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ht="12.75"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ht="12.75"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ht="12.75"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ht="12.75"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ht="12.75"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ht="12.75"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ht="12.75"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ht="12.75"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ht="12.75"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ht="12.75"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ht="12.75"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ht="12.75"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ht="12.75"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ht="12.75"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ht="12.75"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ht="12.75"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ht="12.75"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ht="12.75"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ht="12.75"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ht="12.75"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ht="12.75"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ht="12.75"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ht="12.75"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ht="12.75"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ht="12.75"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ht="12.75"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ht="12.75"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ht="12.75"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ht="12.75"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ht="12.75"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ht="12.75"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ht="12.75"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ht="12.75"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ht="12.75"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ht="12.75"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ht="12.75"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ht="12.75"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ht="12.75"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ht="12.75"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ht="12.75"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ht="12.75"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ht="12.75"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ht="12.75"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ht="12.75"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ht="12.75"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ht="12.75"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ht="12.75"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ht="12.75"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ht="12.75"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ht="12.75"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ht="12.75"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ht="12.75"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ht="12.75"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ht="12.75"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ht="12.75"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ht="12.75"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ht="12.75"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ht="12.75"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ht="12.75"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ht="12.75"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ht="12.75"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ht="12.75"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ht="12.75"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ht="12.75"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ht="12.75"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ht="12.75"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ht="12.75"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ht="12.75"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ht="12.75"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ht="12.75"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ht="12.75"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ht="12.75"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ht="12.75"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ht="12.75"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ht="12.75"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ht="12.75"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ht="12.75"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ht="12.75"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ht="12.75"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ht="12.75"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ht="12.75"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ht="12.75"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ht="12.75"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ht="12.75"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ht="12.75"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ht="12.75"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ht="12.75"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ht="12.75"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ht="12.75"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ht="12.75"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ht="12.75"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ht="12.75"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ht="12.75"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ht="12.75"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ht="12.75"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ht="12.75"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ht="12.75"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ht="12.75"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ht="12.75"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ht="12.75"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ht="12.75"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ht="12.75"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ht="12.75"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ht="12.75"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ht="12.75"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ht="12.75"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ht="12.75"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ht="12.75"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ht="12.75"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ht="12.75"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ht="12.75"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ht="12.75"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ht="12.75"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ht="12.75"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ht="12.75"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ht="12.75"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ht="12.75"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ht="12.75"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ht="12.75"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ht="12.75"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ht="12.75"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ht="12.75"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ht="12.75"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ht="12.75"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ht="12.75"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ht="12.75"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ht="12.75"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ht="12.75"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ht="12.75"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ht="12.75"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ht="12.75"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ht="12.75"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ht="12.75"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ht="12.75"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ht="12.75"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ht="12.75"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ht="12.75"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ht="12.75"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ht="12.75"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ht="12.75"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ht="12.75"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ht="12.75"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ht="12.75"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ht="12.75"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ht="12.75"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ht="12.75"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ht="12.75"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ht="12.75"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ht="12.75"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ht="12.75"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ht="12.75"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ht="12.75"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ht="12.75"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ht="12.75"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ht="12.75"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ht="12.75"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ht="12.75"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ht="12.75"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ht="12.75"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ht="12.75"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ht="12.75"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ht="12.75"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ht="12.75"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ht="12.75"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ht="12.75"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ht="12.75"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ht="12.75"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ht="12.75"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ht="12.75"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ht="12.75"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ht="12.75"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ht="12.75"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ht="12.75"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ht="12.75"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ht="12.75"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ht="12.75"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ht="12.75"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ht="12.75"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ht="12.75"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ht="12.75"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ht="12.75"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ht="12.75"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ht="12.75"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ht="12.75"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ht="12.75"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ht="12.75"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ht="12.75"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ht="12.75"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ht="12.75"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ht="12.75"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ht="12.75"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ht="12.75"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ht="12.75"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ht="12.75"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ht="12.75"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ht="12.75"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ht="12.75"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ht="12.75"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ht="12.75"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ht="12.75"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ht="12.75"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ht="12.75"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ht="12.75"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ht="12.75"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ht="12.75"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ht="12.75"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ht="12.75"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ht="12.75"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ht="12.75"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ht="12.75"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ht="12.75"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ht="12.75"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ht="12.75"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ht="12.75"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ht="12.75"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ht="12.75"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ht="12.75"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ht="12.75"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ht="12.75"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ht="12.75"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ht="12.75"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ht="12.75"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ht="12.75"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ht="12.75"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ht="12.75"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ht="12.75"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ht="12.75"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ht="12.75"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ht="12.75"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ht="12.75"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ht="12.75"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ht="12.75"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ht="12.75"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ht="12.75"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ht="12.75"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ht="12.75"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ht="12.75"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ht="12.75"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ht="12.75"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ht="12.75"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ht="12.75"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ht="12.75"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ht="12.75"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ht="12.75"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ht="12.75"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ht="12.75"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ht="12.75"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ht="12.75"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ht="12.75"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ht="12.75"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ht="12.75"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ht="12.75"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ht="12.75"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ht="12.75"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ht="12.75"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ht="12.75"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ht="12.75"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ht="12.75"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ht="12.75"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ht="12.75"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ht="12.75"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ht="12.75"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ht="12.75"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ht="12.75"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ht="12.75"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ht="12.75"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ht="12.75"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ht="12.75"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ht="12.75"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ht="12.75"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ht="12.75"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ht="12.75"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ht="12.75"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ht="12.75"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ht="12.75"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  <row ht="12.75"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</row>
    <row ht="12.75"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</row>
    <row ht="12.75"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</row>
    <row ht="12.75"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</row>
    <row ht="12.75"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</row>
    <row ht="12.75"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</row>
    <row ht="12.75"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</row>
    <row ht="12.75"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</row>
    <row ht="12.75"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</row>
    <row ht="12.75"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</row>
    <row ht="12.75"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</row>
    <row ht="12.75"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</row>
    <row ht="12.75"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</row>
    <row ht="12.75"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</row>
    <row ht="12.75"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</row>
    <row ht="12.75"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</row>
    <row ht="12.75"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</row>
    <row ht="12.75"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</row>
    <row ht="12.75"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</row>
    <row ht="12.75"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</row>
    <row ht="12.75" r="100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</row>
    <row ht="12.75" r="1003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</row>
    <row ht="12.75" r="1004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</row>
    <row ht="12.75" r="1005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</row>
    <row ht="12.75" r="1006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</row>
    <row ht="12.75" r="1007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</row>
    <row ht="12.75" r="1008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</row>
    <row ht="12.75" r="1009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</row>
    <row ht="12.75" r="1010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</row>
    <row ht="12.75" r="1011">
      <c r="A1011" s="10"/>
      <c r="B1011" s="10"/>
      <c r="C1011" s="10"/>
      <c r="D1011" s="10"/>
      <c r="E1011" s="10"/>
      <c r="F1011" s="10"/>
      <c r="G1011" s="10"/>
      <c r="H1011" s="10"/>
      <c r="I1011" s="10"/>
      <c r="J1011" s="10"/>
    </row>
    <row ht="12.75" r="1012">
      <c r="A1012" s="10"/>
      <c r="B1012" s="10"/>
      <c r="C1012" s="10"/>
      <c r="D1012" s="10"/>
      <c r="E1012" s="10"/>
      <c r="F1012" s="10"/>
      <c r="G1012" s="10"/>
      <c r="H1012" s="10"/>
      <c r="I1012" s="10"/>
      <c r="J1012" s="10"/>
    </row>
    <row ht="12.75" r="1013">
      <c r="A1013" s="10"/>
      <c r="B1013" s="10"/>
      <c r="C1013" s="10"/>
      <c r="D1013" s="10"/>
      <c r="E1013" s="10"/>
      <c r="F1013" s="10"/>
      <c r="G1013" s="10"/>
      <c r="H1013" s="10"/>
      <c r="I1013" s="10"/>
      <c r="J1013" s="10"/>
    </row>
    <row ht="12.75" r="1014">
      <c r="A1014" s="10"/>
      <c r="B1014" s="10"/>
      <c r="C1014" s="10"/>
      <c r="D1014" s="10"/>
      <c r="E1014" s="10"/>
      <c r="F1014" s="10"/>
      <c r="G1014" s="10"/>
      <c r="H1014" s="10"/>
      <c r="I1014" s="10"/>
      <c r="J1014" s="10"/>
    </row>
    <row ht="12.75" r="1015">
      <c r="A1015" s="10"/>
      <c r="B1015" s="10"/>
      <c r="C1015" s="10"/>
      <c r="D1015" s="10"/>
      <c r="E1015" s="10"/>
      <c r="F1015" s="10"/>
      <c r="G1015" s="10"/>
      <c r="H1015" s="10"/>
      <c r="I1015" s="10"/>
      <c r="J1015" s="10"/>
    </row>
  </sheetData>
  <printOptions gridLines="0" headings="0"/>
  <pageMargins bottom="0.75" footer="0.29999999999999999" header="0.29999999999999999" left="0.69999999999999996" right="0.69999999999999996" top="0.75"/>
  <pageSetup blackAndWhite="0" cellComments="none" copies="1" draft="0" errors="displayed" fitToHeight="1" fitToWidth="1" horizontalDpi="600" orientation="portrait" pageOrder="downThenOver" paperSize="9" scale="100" useFirstPageNumber="0" usePrinterDefaults="1" verticalDpi="6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Suarez</dc:creator>
  <cp:revision>2</cp:revision>
  <dcterms:created xsi:type="dcterms:W3CDTF">2026-03-06T02:16:56Z</dcterms:created>
  <dcterms:modified xsi:type="dcterms:W3CDTF">2026-08-12T18:33:08Z</dcterms:modified>
</cp:coreProperties>
</file>