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<sst xmlns="http://schemas.openxmlformats.org/spreadsheetml/2006/main" count="80" uniqueCount="80">
  <si>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</si>
  <si>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</si>
  <si>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</si>
  <si>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</si>
  <si>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</si>
  <si>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</si>
  <si>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</si>
  <si>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</si>
  <si>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</si>
  <si>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</si>
  <si>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</si>
  <si>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</si>
  <si>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</si>
  <si>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</si>
  <si>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</si>
  <si>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</si>
  <si>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</si>
  <si>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</si>
  <si>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</si>
  <si>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</si>
  <si>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</si>
  <si>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</si>
  <si>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01/09/2026 al ${table:fechaHasta}</t>
  </si>
  <si>
    <t>Fecha del reporte: 01/09/2026 al 01/09/2026</t>
  </si>
  <si>
    <t>18-2026002526</t>
  </si>
  <si>
    <t>20-2026000376</t>
  </si>
  <si>
    <t>19-2026000118</t>
  </si>
  <si>
    <t>234-2026008273</t>
  </si>
  <si>
    <t>19-2026000117</t>
  </si>
  <si>
    <t>18-2026002522</t>
  </si>
  <si>
    <t>298-2026000270</t>
  </si>
  <si>
    <t>19-2026000119</t>
  </si>
  <si>
    <t>234-2026012125</t>
  </si>
  <si>
    <t>234-2026012135</t>
  </si>
  <si>
    <t>234-2026011935</t>
  </si>
  <si>
    <t>234-2026008766</t>
  </si>
  <si>
    <t>234-2026007068</t>
  </si>
  <si>
    <t>234-2026007065</t>
  </si>
  <si>
    <t>234-2026000930</t>
  </si>
  <si>
    <t>234-2026007066</t>
  </si>
  <si>
    <t/>
  </si>
  <si>
    <t>20-2026000377</t>
  </si>
  <si>
    <t>18-2026002527</t>
  </si>
  <si>
    <t>4110_CICTA</t>
  </si>
  <si>
    <t>6861_DPTO_CIENCIAS_BASICAS</t>
  </si>
  <si>
    <t>4110_VICE_INVESTIGACION_EXTENSION</t>
  </si>
  <si>
    <t>6280_ESC_TRABAJO_SOCIAL</t>
  </si>
  <si>
    <t>3150_DMT</t>
  </si>
  <si>
    <t>6290_DPTO_EDUCACION_FISICA_DEPORTES</t>
  </si>
  <si>
    <t>6212_INSTITUTO_LENGUAS</t>
  </si>
  <si>
    <t>2240_SEDE_BARRANCABERMEJA</t>
  </si>
  <si>
    <t>2250_SEDE_BARBOSA</t>
  </si>
  <si>
    <t>6560_ESC_ING_MECANICA</t>
  </si>
  <si>
    <t>C09_CONTRATOS</t>
  </si>
  <si>
    <t>C09.11_ORDEN_PRESTACION_SERVICIOS</t>
  </si>
  <si>
    <t>C09.08_ORDEN_COMPRA</t>
  </si>
  <si>
    <t>C09.12_ORDEN_TRABAJO</t>
  </si>
  <si>
    <t>C09.10_ORDEN_PAGO</t>
  </si>
  <si>
    <t>C09.33_ORDEN_SUMINISTROS</t>
  </si>
  <si>
    <t>01/09/2026 15:06</t>
  </si>
  <si>
    <t>01/09/2026 14:56</t>
  </si>
  <si>
    <t>01/09/2026 15:34</t>
  </si>
  <si>
    <t>01/09/2026 14:58</t>
  </si>
  <si>
    <t>01/09/2026 09:46</t>
  </si>
  <si>
    <t>01/09/2026 16:37</t>
  </si>
  <si>
    <t>01/09/2026 16:47</t>
  </si>
  <si>
    <t>01/09/2026 10:27</t>
  </si>
  <si>
    <t>01/09/2026 17:01</t>
  </si>
  <si>
    <t>01/09/2026 15:23</t>
  </si>
  <si>
    <t>01/09/2026 15:41</t>
  </si>
  <si>
    <t>01/09/2026 16:08</t>
  </si>
  <si>
    <t>01/09/2026 10:39</t>
  </si>
  <si>
    <t>01/09/2026 14:57</t>
  </si>
  <si>
    <t>01/09/2026 16:33</t>
  </si>
  <si>
    <t>01/09/2026 15:03</t>
  </si>
  <si>
    <t>01/09/2026 16:04</t>
  </si>
  <si>
    <t>01/09/2026 16:38</t>
  </si>
  <si>
    <t>02/09/2026 10:33</t>
  </si>
  <si>
    <t>02/09/2026 10:29</t>
  </si>
  <si>
    <t>01/09/2026 16:10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</si>
</sst>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HYPERLINK("https://gesdoc.uis.edu.co/share/page/folder-details?nodeRef=workspace://SpacesStore/72408974-059d-45c1-9310-4061b1e99c46","0018_2026002526_7077")</f>
      </c>
      <c r="C13" s="12" t="s">
        <v>24</v>
      </c>
      <c r="D13" s="13" t="s">
        <v>43</v>
      </c>
      <c r="E13" s="12" t="s">
        <v>53</v>
      </c>
      <c r="F13" s="12" t="s">
        <v>54</v>
      </c>
      <c r="G13" s="12" t="s">
        <v>59</v>
      </c>
      <c r="H13" s="12" t="s">
        <v>59</v>
      </c>
      <c r="I13" s="12" t="s">
        <v>40</v>
      </c>
      <c r="J13" s="12" t="s">
        <v>40</v>
      </c>
    </row>
    <row customHeight="1" ht="33" r="14">
      <c r="B14" s="12">
        <f>HYPERLINK("https://gesdoc.uis.edu.co/share/page/folder-details?nodeRef=workspace://SpacesStore/5a11505e-2927-4ac4-bf2b-053ab1680f37","0020_2026000376_6861")</f>
      </c>
      <c r="C14" s="12" t="s">
        <v>25</v>
      </c>
      <c r="D14" s="13" t="s">
        <v>44</v>
      </c>
      <c r="E14" s="12" t="s">
        <v>53</v>
      </c>
      <c r="F14" s="12" t="s">
        <v>55</v>
      </c>
      <c r="G14" s="12" t="s">
        <v>60</v>
      </c>
      <c r="H14" s="12" t="s">
        <v>72</v>
      </c>
      <c r="I14" s="12" t="s">
        <v>40</v>
      </c>
      <c r="J14" s="12" t="s">
        <v>40</v>
      </c>
    </row>
    <row customHeight="1" ht="33" r="15">
      <c r="B15" s="12">
        <f>HYPERLINK("https://gesdoc.uis.edu.co/share/page/folder-details?nodeRef=workspace://SpacesStore/2d80b4a8-a69a-43ed-a11c-36e46dc9d955","0019_2026000118_4518")</f>
      </c>
      <c r="C15" s="12" t="s">
        <v>26</v>
      </c>
      <c r="D15" s="13" t="s">
        <v>45</v>
      </c>
      <c r="E15" s="12" t="s">
        <v>53</v>
      </c>
      <c r="F15" s="12" t="s">
        <v>56</v>
      </c>
      <c r="G15" s="12" t="s">
        <v>61</v>
      </c>
      <c r="H15" s="12" t="s">
        <v>73</v>
      </c>
      <c r="I15" s="12" t="s">
        <v>40</v>
      </c>
      <c r="J15" s="12" t="s">
        <v>40</v>
      </c>
    </row>
    <row customHeight="1" ht="33" r="16">
      <c r="B16" s="12">
        <f>HYPERLINK("https://gesdoc.uis.edu.co/share/page/folder-details?nodeRef=workspace://SpacesStore/54bd96b7-ccda-409a-b590-ccdb99c44e59","0234_2026008273_7033")</f>
      </c>
      <c r="C16" s="12" t="s">
        <v>27</v>
      </c>
      <c r="D16" s="13" t="s">
        <v>46</v>
      </c>
      <c r="E16" s="12" t="s">
        <v>53</v>
      </c>
      <c r="F16" s="12" t="s">
        <v>57</v>
      </c>
      <c r="G16" s="12" t="s">
        <v>62</v>
      </c>
      <c r="H16" s="12" t="s">
        <v>74</v>
      </c>
      <c r="I16" s="12" t="s">
        <v>40</v>
      </c>
      <c r="J16" s="12" t="s">
        <v>40</v>
      </c>
    </row>
    <row customHeight="1" ht="33" r="17">
      <c r="B17" s="12">
        <f>HYPERLINK("https://gesdoc.uis.edu.co/share/page/folder-details?nodeRef=workspace://SpacesStore/f412634d-c795-4a2c-8934-6e249b17d1ee","0019_2026000117_7063")</f>
      </c>
      <c r="C17" s="12" t="s">
        <v>28</v>
      </c>
      <c r="D17" s="13" t="s">
        <v>47</v>
      </c>
      <c r="E17" s="12" t="s">
        <v>53</v>
      </c>
      <c r="F17" s="12" t="s">
        <v>56</v>
      </c>
      <c r="G17" s="12" t="s">
        <v>63</v>
      </c>
      <c r="H17" s="12" t="s">
        <v>75</v>
      </c>
      <c r="I17" s="12" t="s">
        <v>40</v>
      </c>
      <c r="J17" s="12" t="s">
        <v>40</v>
      </c>
    </row>
    <row customHeight="1" ht="33" r="18">
      <c r="B18" s="12">
        <f>HYPERLINK("https://gesdoc.uis.edu.co/share/page/folder-details?nodeRef=workspace://SpacesStore/e0bce0ef-bebb-4b30-b6c3-404077313a5d","0018_2026002522")</f>
      </c>
      <c r="C18" s="12" t="s">
        <v>29</v>
      </c>
      <c r="D18" s="13" t="s">
        <v>48</v>
      </c>
      <c r="E18" s="12" t="s">
        <v>53</v>
      </c>
      <c r="F18" s="12" t="s">
        <v>54</v>
      </c>
      <c r="G18" s="12" t="s">
        <v>64</v>
      </c>
      <c r="H18" s="12" t="s">
        <v>76</v>
      </c>
      <c r="I18" s="12" t="s">
        <v>40</v>
      </c>
      <c r="J18" s="12" t="s">
        <v>40</v>
      </c>
    </row>
    <row customHeight="1" ht="33" r="19">
      <c r="B19" s="12">
        <f>HYPERLINK("https://gesdoc.uis.edu.co/share/page/folder-details?nodeRef=workspace://SpacesStore/7150c628-81e2-44e1-821e-ba872e8b7cf1","0298_2026000270_7061")</f>
      </c>
      <c r="C19" s="12" t="s">
        <v>30</v>
      </c>
      <c r="D19" s="13" t="s">
        <v>49</v>
      </c>
      <c r="E19" s="12" t="s">
        <v>53</v>
      </c>
      <c r="F19" s="12" t="s">
        <v>58</v>
      </c>
      <c r="G19" s="12" t="s">
        <v>65</v>
      </c>
      <c r="H19" s="12" t="s">
        <v>77</v>
      </c>
      <c r="I19" s="12" t="s">
        <v>40</v>
      </c>
      <c r="J19" s="12" t="s">
        <v>40</v>
      </c>
    </row>
    <row customHeight="1" ht="33" r="20">
      <c r="B20" s="12">
        <f>HYPERLINK("https://gesdoc.uis.edu.co/share/page/folder-details?nodeRef=workspace://SpacesStore/e282be19-a3b0-4e60-bed2-ac8ca80db7c9","0019_2026000119_2240_7837")</f>
      </c>
      <c r="C20" s="12" t="s">
        <v>31</v>
      </c>
      <c r="D20" s="13" t="s">
        <v>50</v>
      </c>
      <c r="E20" s="12" t="s">
        <v>53</v>
      </c>
      <c r="F20" s="12" t="s">
        <v>56</v>
      </c>
      <c r="G20" s="12" t="s">
        <v>66</v>
      </c>
      <c r="H20" s="12" t="s">
        <v>78</v>
      </c>
      <c r="I20" s="12" t="s">
        <v>40</v>
      </c>
      <c r="J20" s="12" t="s">
        <v>40</v>
      </c>
    </row>
    <row customHeight="1" ht="33" r="21">
      <c r="B21" s="12">
        <f>HYPERLINK("https://gesdoc.uis.edu.co/share/page/folder-details?nodeRef=workspace://SpacesStore/5d1159c7-76fc-43a6-b46e-367ca1acab1d","0234_2026012125_2240")</f>
      </c>
      <c r="C21" s="12" t="s">
        <v>32</v>
      </c>
      <c r="D21" s="13" t="s">
        <v>50</v>
      </c>
      <c r="E21" s="12" t="s">
        <v>53</v>
      </c>
      <c r="F21" s="12" t="s">
        <v>57</v>
      </c>
      <c r="G21" s="12" t="s">
        <v>67</v>
      </c>
      <c r="H21" s="12" t="s">
        <v>67</v>
      </c>
      <c r="I21" s="12" t="s">
        <v>40</v>
      </c>
      <c r="J21" s="12" t="s">
        <v>40</v>
      </c>
    </row>
    <row customHeight="1" ht="33" r="22">
      <c r="B22" s="12">
        <f>HYPERLINK("https://gesdoc.uis.edu.co/share/page/folder-details?nodeRef=workspace://SpacesStore/15a7bc19-c7e1-4354-97b5-c23d96663c87","0234_2026012135_2240")</f>
      </c>
      <c r="C22" s="12" t="s">
        <v>33</v>
      </c>
      <c r="D22" s="13" t="s">
        <v>50</v>
      </c>
      <c r="E22" s="12" t="s">
        <v>53</v>
      </c>
      <c r="F22" s="12" t="s">
        <v>57</v>
      </c>
      <c r="G22" s="12" t="s">
        <v>67</v>
      </c>
      <c r="H22" s="12" t="s">
        <v>67</v>
      </c>
      <c r="I22" s="12" t="s">
        <v>40</v>
      </c>
      <c r="J22" s="12" t="s">
        <v>40</v>
      </c>
    </row>
    <row customHeight="1" ht="33" r="23">
      <c r="B23" s="12">
        <f>HYPERLINK("https://gesdoc.uis.edu.co/share/page/folder-details?nodeRef=workspace://SpacesStore/042c7129-707e-42d1-8385-1bffdd0ddef4","0234_2026011935_2240")</f>
      </c>
      <c r="C23" s="12" t="s">
        <v>34</v>
      </c>
      <c r="D23" s="13" t="s">
        <v>50</v>
      </c>
      <c r="E23" s="12" t="s">
        <v>53</v>
      </c>
      <c r="F23" s="12" t="s">
        <v>57</v>
      </c>
      <c r="G23" s="12" t="s">
        <v>67</v>
      </c>
      <c r="H23" s="12" t="s">
        <v>67</v>
      </c>
      <c r="I23" s="12" t="s">
        <v>40</v>
      </c>
      <c r="J23" s="12" t="s">
        <v>40</v>
      </c>
    </row>
    <row customHeight="1" ht="33" r="24">
      <c r="B24" s="12">
        <f>HYPERLINK("https://gesdoc.uis.edu.co/share/page/folder-details?nodeRef=workspace://SpacesStore/db2f910e-cc25-4a9f-a90f-9996bdf43c71","0234_2026008766_9285")</f>
      </c>
      <c r="C24" s="12" t="s">
        <v>35</v>
      </c>
      <c r="D24" s="13" t="s">
        <v>46</v>
      </c>
      <c r="E24" s="12" t="s">
        <v>53</v>
      </c>
      <c r="F24" s="12" t="s">
        <v>57</v>
      </c>
      <c r="G24" s="12" t="s">
        <v>68</v>
      </c>
      <c r="H24" s="12" t="s">
        <v>68</v>
      </c>
      <c r="I24" s="12" t="s">
        <v>40</v>
      </c>
      <c r="J24" s="12" t="s">
        <v>40</v>
      </c>
    </row>
    <row customHeight="1" ht="33" r="25">
      <c r="B25" s="12">
        <f>HYPERLINK("https://gesdoc.uis.edu.co/share/page/folder-details?nodeRef=workspace://SpacesStore/11fdcbdd-2bb4-44d9-8605-6b01d67441cf","0234_2026007068_9285")</f>
      </c>
      <c r="C25" s="12" t="s">
        <v>36</v>
      </c>
      <c r="D25" s="13" t="s">
        <v>46</v>
      </c>
      <c r="E25" s="12" t="s">
        <v>53</v>
      </c>
      <c r="F25" s="12" t="s">
        <v>57</v>
      </c>
      <c r="G25" s="12" t="s">
        <v>68</v>
      </c>
      <c r="H25" s="12" t="s">
        <v>68</v>
      </c>
      <c r="I25" s="12" t="s">
        <v>40</v>
      </c>
      <c r="J25" s="12" t="s">
        <v>40</v>
      </c>
    </row>
    <row customHeight="1" ht="33" r="26">
      <c r="B26" s="12">
        <f>HYPERLINK("https://gesdoc.uis.edu.co/share/page/folder-details?nodeRef=workspace://SpacesStore/02a7a144-0f32-486f-b294-6da92e705f46","0234_2026007065_9285")</f>
      </c>
      <c r="C26" s="12" t="s">
        <v>37</v>
      </c>
      <c r="D26" s="13" t="s">
        <v>46</v>
      </c>
      <c r="E26" s="12" t="s">
        <v>53</v>
      </c>
      <c r="F26" s="12" t="s">
        <v>57</v>
      </c>
      <c r="G26" s="12" t="s">
        <v>68</v>
      </c>
      <c r="H26" s="12" t="s">
        <v>68</v>
      </c>
      <c r="I26" s="12" t="s">
        <v>40</v>
      </c>
      <c r="J26" s="12" t="s">
        <v>40</v>
      </c>
    </row>
    <row customHeight="1" ht="33" r="27">
      <c r="B27" s="12">
        <f>HYPERLINK("https://gesdoc.uis.edu.co/share/page/folder-details?nodeRef=workspace://SpacesStore/a1d20864-2208-4ccf-86d2-e919c31937cb","0234_2026000930_9285")</f>
      </c>
      <c r="C27" s="12" t="s">
        <v>38</v>
      </c>
      <c r="D27" s="13" t="s">
        <v>46</v>
      </c>
      <c r="E27" s="12" t="s">
        <v>53</v>
      </c>
      <c r="F27" s="12" t="s">
        <v>57</v>
      </c>
      <c r="G27" s="12" t="s">
        <v>68</v>
      </c>
      <c r="H27" s="12" t="s">
        <v>68</v>
      </c>
      <c r="I27" s="12" t="s">
        <v>40</v>
      </c>
      <c r="J27" s="12" t="s">
        <v>40</v>
      </c>
    </row>
    <row customHeight="1" ht="33" r="28">
      <c r="B28" s="12">
        <f>HYPERLINK("https://gesdoc.uis.edu.co/share/page/folder-details?nodeRef=workspace://SpacesStore/c6410684-1f4d-4f12-8eab-81768b019d6b","0234_2026007066_9285")</f>
      </c>
      <c r="C28" s="12" t="s">
        <v>39</v>
      </c>
      <c r="D28" s="13" t="s">
        <v>46</v>
      </c>
      <c r="E28" s="12" t="s">
        <v>53</v>
      </c>
      <c r="F28" s="12" t="s">
        <v>57</v>
      </c>
      <c r="G28" s="12" t="s">
        <v>68</v>
      </c>
      <c r="H28" s="12" t="s">
        <v>68</v>
      </c>
      <c r="I28" s="12" t="s">
        <v>40</v>
      </c>
      <c r="J28" s="12" t="s">
        <v>40</v>
      </c>
    </row>
    <row customHeight="1" ht="33" r="29">
      <c r="B29" s="12">
        <f>HYPERLINK("https://gesdoc.uis.edu.co/share/page/folder-details?nodeRef=workspace://SpacesStore/f594f226-160e-4e1c-bcd2-520e5c4c5d1b","2026012088_2250")</f>
      </c>
      <c r="C29" s="12" t="s">
        <v>40</v>
      </c>
      <c r="D29" s="13" t="s">
        <v>51</v>
      </c>
      <c r="E29" s="12" t="s">
        <v>53</v>
      </c>
      <c r="F29" s="12" t="s">
        <v>57</v>
      </c>
      <c r="G29" s="12" t="s">
        <v>69</v>
      </c>
      <c r="H29" s="12" t="s">
        <v>69</v>
      </c>
      <c r="I29" s="12" t="s">
        <v>40</v>
      </c>
      <c r="J29" s="12" t="s">
        <v>40</v>
      </c>
    </row>
    <row customHeight="1" ht="33" r="30">
      <c r="B30" s="12">
        <f>HYPERLINK("https://gesdoc.uis.edu.co/share/page/folder-details?nodeRef=workspace://SpacesStore/02a0956c-d5f4-44c1-93ad-f9df1a63272e","0020_2026000377_6861")</f>
      </c>
      <c r="C30" s="12" t="s">
        <v>41</v>
      </c>
      <c r="D30" s="13" t="s">
        <v>44</v>
      </c>
      <c r="E30" s="12" t="s">
        <v>53</v>
      </c>
      <c r="F30" s="12" t="s">
        <v>55</v>
      </c>
      <c r="G30" s="12" t="s">
        <v>70</v>
      </c>
      <c r="H30" s="12" t="s">
        <v>79</v>
      </c>
      <c r="I30" s="12" t="s">
        <v>40</v>
      </c>
      <c r="J30" s="12" t="s">
        <v>40</v>
      </c>
    </row>
    <row customHeight="1" ht="33" r="31">
      <c r="B31" s="12">
        <f>HYPERLINK("https://gesdoc.uis.edu.co/share/page/folder-details?nodeRef=workspace://SpacesStore/6a250c5d-a6eb-4ff1-abcd-565b45dbf0df","0018_2026002527_7017")</f>
      </c>
      <c r="C31" s="12" t="s">
        <v>42</v>
      </c>
      <c r="D31" s="13" t="s">
        <v>52</v>
      </c>
      <c r="E31" s="12" t="s">
        <v>53</v>
      </c>
      <c r="F31" s="12" t="s">
        <v>54</v>
      </c>
      <c r="G31" s="12" t="s">
        <v>71</v>
      </c>
      <c r="H31" s="12" t="s">
        <v>71</v>
      </c>
      <c r="I31" s="12" t="s">
        <v>40</v>
      </c>
      <c r="J31" s="12" t="s">
        <v>40</v>
      </c>
    </row>
    <row customHeight="1" ht="12.4" r="32">
      <c r="B32" s="10"/>
      <c r="C32" s="10"/>
      <c r="D32" s="10"/>
      <c r="E32" s="10"/>
      <c r="F32" s="10"/>
      <c r="G32" s="10"/>
      <c r="H32" s="10"/>
      <c r="I32" s="10"/>
      <c r="J32" s="10"/>
    </row>
    <row customHeight="1" ht="13.15" r="33">
      <c r="B33" s="10"/>
      <c r="C33" s="10"/>
      <c r="E33" s="10"/>
      <c r="F33" s="10"/>
      <c r="G33" s="10"/>
      <c r="H33" s="10"/>
      <c r="I33" s="10"/>
      <c r="J33" s="10"/>
    </row>
    <row customHeight="1" ht="13.5" r="34">
      <c r="B34" s="10"/>
      <c r="J34" s="10"/>
    </row>
    <row ht="12.75" r="35">
      <c r="B35" s="10"/>
      <c r="J35" s="10"/>
    </row>
    <row ht="12.75" r="36">
      <c r="B36" s="10"/>
      <c r="C36" s="10"/>
      <c r="D36" s="10"/>
      <c r="E36" s="10"/>
      <c r="F36" s="10"/>
      <c r="G36" s="10"/>
      <c r="H36" s="10"/>
      <c r="I36" s="10"/>
      <c r="J36" s="10"/>
    </row>
    <row ht="12.75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ht="12.75" r="39">
      <c r="B39" s="10"/>
      <c r="C39" s="10"/>
      <c r="D39" s="10"/>
      <c r="E39" s="10"/>
      <c r="F39" s="10"/>
      <c r="G39" s="10"/>
      <c r="H39" s="10"/>
      <c r="I39" s="10"/>
      <c r="J39" s="10"/>
    </row>
    <row ht="12.75" r="40">
      <c r="B40" s="10"/>
      <c r="C40" s="10"/>
      <c r="D40" s="10"/>
      <c r="E40" s="10"/>
      <c r="F40" s="10"/>
      <c r="G40" s="10"/>
      <c r="H40" s="10"/>
      <c r="I40" s="10"/>
      <c r="J40" s="10"/>
    </row>
    <row ht="12.75" r="41"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B43" s="10"/>
      <c r="C43" s="10"/>
      <c r="D43" s="10"/>
      <c r="E43" s="10"/>
      <c r="F43" s="10"/>
      <c r="G43" s="10"/>
      <c r="H43" s="10"/>
      <c r="I43" s="10"/>
      <c r="J43" s="10"/>
    </row>
    <row customHeight="1" ht="12.4" r="44"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B49" s="10"/>
      <c r="C49" s="10"/>
      <c r="D49" s="10"/>
      <c r="E49" s="10"/>
      <c r="F49" s="10"/>
      <c r="G49" s="10"/>
      <c r="H49" s="10"/>
      <c r="I49" s="10"/>
      <c r="J49" s="10"/>
    </row>
    <row ht="12.75" r="50"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B53" s="10"/>
      <c r="C53" s="10"/>
      <c r="D53" s="10"/>
      <c r="E53" s="10"/>
      <c r="F53" s="10"/>
      <c r="G53" s="10"/>
      <c r="H53" s="10"/>
      <c r="I53" s="10"/>
      <c r="J53" s="10"/>
    </row>
    <row customHeight="1" ht="12.4" r="54">
      <c r="B54" s="10"/>
      <c r="C54" s="10"/>
      <c r="D54" s="10"/>
      <c r="E54" s="10"/>
      <c r="F54" s="10"/>
      <c r="G54" s="10"/>
      <c r="H54" s="10"/>
      <c r="I54" s="10"/>
      <c r="J54" s="10"/>
    </row>
    <row customHeight="1" ht="12.4" r="55"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B56" s="10"/>
      <c r="C56" s="10"/>
      <c r="D56" s="10"/>
      <c r="E56" s="10"/>
      <c r="F56" s="10"/>
      <c r="G56" s="10"/>
      <c r="H56" s="10"/>
      <c r="I56" s="10"/>
      <c r="J56" s="10"/>
    </row>
    <row customHeight="1" ht="12.4" r="57">
      <c r="B57" s="10"/>
      <c r="C57" s="10"/>
      <c r="D57" s="10"/>
      <c r="E57" s="10"/>
      <c r="F57" s="10"/>
      <c r="G57" s="10"/>
      <c r="H57" s="10"/>
      <c r="I57" s="10"/>
      <c r="J57" s="10"/>
    </row>
    <row customHeight="1" ht="12.4" r="58">
      <c r="B58" s="10"/>
      <c r="C58" s="10"/>
      <c r="D58" s="10"/>
      <c r="E58" s="10"/>
      <c r="F58" s="10"/>
      <c r="G58" s="10"/>
      <c r="H58" s="10"/>
      <c r="I58" s="10"/>
      <c r="J58" s="10"/>
    </row>
    <row customHeight="1" ht="13.1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customHeight="1" ht="12.4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