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<sst xmlns="http://schemas.openxmlformats.org/spreadsheetml/2006/main" count="90" uniqueCount="90">
  <si>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</si>
  <si>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</si>
  <si>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</si>
  <si>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</si>
  <si>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</si>
  <si>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</si>
  <si>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</si>
  <si>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</si>
  <si>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</si>
  <si>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</si>
  <si>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</si>
  <si>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</si>
  <si>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</si>
  <si>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</si>
  <si>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</si>
  <si>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</si>
  <si>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</si>
  <si>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</si>
  <si>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</si>
  <si>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</si>
  <si>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</si>
  <si>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</si>
  <si>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07/09/2026 al ${table:fechaHasta}</t>
  </si>
  <si>
    <t>Fecha del reporte: 07/09/2026 al 07/09/2026</t>
  </si>
  <si>
    <t>18-2026002564</t>
  </si>
  <si>
    <t>18-2026002572</t>
  </si>
  <si>
    <t>19-2026000125</t>
  </si>
  <si>
    <t>18-2026002541</t>
  </si>
  <si>
    <t>18-2026002547</t>
  </si>
  <si>
    <t>20-2026000379</t>
  </si>
  <si>
    <t>18-2026002579</t>
  </si>
  <si>
    <t>20-2026000384</t>
  </si>
  <si>
    <t>234-2026012231</t>
  </si>
  <si>
    <t>18-2026002531</t>
  </si>
  <si>
    <t>18-2026002532</t>
  </si>
  <si>
    <t>298-2026000272</t>
  </si>
  <si>
    <t>18-2026002590</t>
  </si>
  <si>
    <t/>
  </si>
  <si>
    <t>18-2026002557</t>
  </si>
  <si>
    <t>18-2026002573</t>
  </si>
  <si>
    <t>20-2026000376</t>
  </si>
  <si>
    <t>18-2026002549</t>
  </si>
  <si>
    <t>19-2026000122</t>
  </si>
  <si>
    <t>20-2026000397</t>
  </si>
  <si>
    <t>18-2026002574</t>
  </si>
  <si>
    <t>2170_DIR_CULTURAL</t>
  </si>
  <si>
    <t>3160_DIV_PLANTA_FISICA</t>
  </si>
  <si>
    <t>6450_ESC_ING_QUIMICA</t>
  </si>
  <si>
    <t>4110_VICE_INVESTIGACION_EXTENSION</t>
  </si>
  <si>
    <t>6440_ESC_ING_PETROLEOS</t>
  </si>
  <si>
    <t>6820_ESC_MICROBIOLOGIA</t>
  </si>
  <si>
    <t>6150_ESC_QUIMICA</t>
  </si>
  <si>
    <t>6212_INSTITUTO_LENGUAS</t>
  </si>
  <si>
    <t>6530_ESC_ESTUDIOS_INDUST_EMPRESARIALES</t>
  </si>
  <si>
    <t>4110_CICTA</t>
  </si>
  <si>
    <t>6540_ESC_ING_CIVIL</t>
  </si>
  <si>
    <t>3180_DIV_GESTION_TALENTO_HUMANO</t>
  </si>
  <si>
    <t>3150_DMT</t>
  </si>
  <si>
    <t>6830_ESC_ENFERMERIA</t>
  </si>
  <si>
    <t>C09_CONTRATOS</t>
  </si>
  <si>
    <t>C09.11_ORDEN_PRESTACION_SERVICIOS</t>
  </si>
  <si>
    <t>C09.12_ORDEN_TRABAJO</t>
  </si>
  <si>
    <t>C09.08_ORDEN_COMPRA</t>
  </si>
  <si>
    <t>C09.10_ORDEN_PAGO</t>
  </si>
  <si>
    <t>C09.33_ORDEN_SUMINISTROS</t>
  </si>
  <si>
    <t>07/09/2026 10:21</t>
  </si>
  <si>
    <t>07/09/2026 11:32</t>
  </si>
  <si>
    <t>07/09/2026 07:26</t>
  </si>
  <si>
    <t>07/09/2026 16:56</t>
  </si>
  <si>
    <t>07/09/2026 15:57</t>
  </si>
  <si>
    <t>07/09/2026 08:06</t>
  </si>
  <si>
    <t>07/09/2026 17:03</t>
  </si>
  <si>
    <t>07/09/2026 18:17</t>
  </si>
  <si>
    <t>07/09/2026 18:26</t>
  </si>
  <si>
    <t>07/09/2026 18:27</t>
  </si>
  <si>
    <t>07/09/2026 14:43</t>
  </si>
  <si>
    <t>07/09/2026 16:19</t>
  </si>
  <si>
    <t>07/09/2026 18:03</t>
  </si>
  <si>
    <t>07/09/2026 18:33</t>
  </si>
  <si>
    <t>07/09/2026 15:43</t>
  </si>
  <si>
    <t>07/09/2026 10:29</t>
  </si>
  <si>
    <t>07/09/2026 15:21</t>
  </si>
  <si>
    <t>07/09/2026 08:28</t>
  </si>
  <si>
    <t>07/09/2026 10:23</t>
  </si>
  <si>
    <t>07/09/2026 11:57</t>
  </si>
  <si>
    <t>07/09/2026 16:21</t>
  </si>
  <si>
    <t>07/09/2026 18:18</t>
  </si>
  <si>
    <t>07/09/2026 18:28</t>
  </si>
  <si>
    <t>07/09/2026 16:20</t>
  </si>
  <si>
    <t>07/09/2026 08:46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</si>
</sst>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HYPERLINK("https://gesdoc.uis.edu.co/share/page/folder-details?nodeRef=workspace://SpacesStore/511d6898-a66b-40ef-ad34-ef864cd006c8","0018_2026002564_7231")</f>
      </c>
      <c r="C13" s="12" t="s">
        <v>24</v>
      </c>
      <c r="D13" s="13" t="s">
        <v>45</v>
      </c>
      <c r="E13" s="12" t="s">
        <v>59</v>
      </c>
      <c r="F13" s="12" t="s">
        <v>60</v>
      </c>
      <c r="G13" s="12" t="s">
        <v>65</v>
      </c>
      <c r="H13" s="12" t="s">
        <v>83</v>
      </c>
      <c r="I13" s="12" t="s">
        <v>37</v>
      </c>
      <c r="J13" s="12" t="s">
        <v>37</v>
      </c>
    </row>
    <row customHeight="1" ht="33" r="14">
      <c r="B14" s="12">
        <f>HYPERLINK("https://gesdoc.uis.edu.co/share/page/folder-details?nodeRef=workspace://SpacesStore/09f532d9-8999-46e2-9c79-93ff926d9d25","0018_2026002572_7231")</f>
      </c>
      <c r="C14" s="12" t="s">
        <v>25</v>
      </c>
      <c r="D14" s="13" t="s">
        <v>45</v>
      </c>
      <c r="E14" s="12" t="s">
        <v>59</v>
      </c>
      <c r="F14" s="12" t="s">
        <v>60</v>
      </c>
      <c r="G14" s="12" t="s">
        <v>66</v>
      </c>
      <c r="H14" s="12" t="s">
        <v>84</v>
      </c>
      <c r="I14" s="12" t="s">
        <v>37</v>
      </c>
      <c r="J14" s="12" t="s">
        <v>37</v>
      </c>
    </row>
    <row customHeight="1" ht="33" r="15">
      <c r="B15" s="12">
        <f>HYPERLINK("https://gesdoc.uis.edu.co/share/page/folder-details?nodeRef=workspace://SpacesStore/741013a0-ff39-4479-83f6-1830bd70f539","0019_2026000125_7085")</f>
      </c>
      <c r="C15" s="12" t="s">
        <v>26</v>
      </c>
      <c r="D15" s="13" t="s">
        <v>46</v>
      </c>
      <c r="E15" s="12" t="s">
        <v>59</v>
      </c>
      <c r="F15" s="12" t="s">
        <v>61</v>
      </c>
      <c r="G15" s="12" t="s">
        <v>67</v>
      </c>
      <c r="H15" s="12" t="s">
        <v>67</v>
      </c>
      <c r="I15" s="12" t="s">
        <v>37</v>
      </c>
      <c r="J15" s="12" t="s">
        <v>37</v>
      </c>
    </row>
    <row customHeight="1" ht="33" r="16">
      <c r="B16" s="12">
        <f>HYPERLINK("https://gesdoc.uis.edu.co/share/page/folder-details?nodeRef=workspace://SpacesStore/74cfcd14-64ce-40e0-b02e-95a7da3fa1ab","0018_2026002541_9399")</f>
      </c>
      <c r="C16" s="12" t="s">
        <v>27</v>
      </c>
      <c r="D16" s="13" t="s">
        <v>47</v>
      </c>
      <c r="E16" s="12" t="s">
        <v>59</v>
      </c>
      <c r="F16" s="12" t="s">
        <v>60</v>
      </c>
      <c r="G16" s="12" t="s">
        <v>68</v>
      </c>
      <c r="H16" s="12" t="s">
        <v>68</v>
      </c>
      <c r="I16" s="12" t="s">
        <v>37</v>
      </c>
      <c r="J16" s="12" t="s">
        <v>37</v>
      </c>
    </row>
    <row customHeight="1" ht="33" r="17">
      <c r="B17" s="12">
        <f>HYPERLINK("https://gesdoc.uis.edu.co/share/page/folder-details?nodeRef=workspace://SpacesStore/6d268b5e-78d8-4f1a-aaca-01ba45cd3939","0018_2026002547_9399")</f>
      </c>
      <c r="C17" s="12" t="s">
        <v>28</v>
      </c>
      <c r="D17" s="13" t="s">
        <v>47</v>
      </c>
      <c r="E17" s="12" t="s">
        <v>59</v>
      </c>
      <c r="F17" s="12" t="s">
        <v>60</v>
      </c>
      <c r="G17" s="12" t="s">
        <v>68</v>
      </c>
      <c r="H17" s="12" t="s">
        <v>68</v>
      </c>
      <c r="I17" s="12" t="s">
        <v>37</v>
      </c>
      <c r="J17" s="12" t="s">
        <v>37</v>
      </c>
    </row>
    <row customHeight="1" ht="33" r="18">
      <c r="B18" s="12">
        <f>HYPERLINK("https://gesdoc.uis.edu.co/share/page/folder-details?nodeRef=workspace://SpacesStore/782f4772-9c1f-4121-8461-394cba9e2caa","0020_2026000379_7083")</f>
      </c>
      <c r="C18" s="12" t="s">
        <v>29</v>
      </c>
      <c r="D18" s="13" t="s">
        <v>48</v>
      </c>
      <c r="E18" s="12" t="s">
        <v>59</v>
      </c>
      <c r="F18" s="12" t="s">
        <v>62</v>
      </c>
      <c r="G18" s="12" t="s">
        <v>69</v>
      </c>
      <c r="H18" s="12" t="s">
        <v>69</v>
      </c>
      <c r="I18" s="12" t="s">
        <v>37</v>
      </c>
      <c r="J18" s="12" t="s">
        <v>37</v>
      </c>
    </row>
    <row customHeight="1" ht="33" r="19">
      <c r="B19" s="12">
        <f>HYPERLINK("https://gesdoc.uis.edu.co/share/page/folder-details?nodeRef=workspace://SpacesStore/5e438e34-2969-4b1d-9679-317ecf301912","0018_2026002579_9280")</f>
      </c>
      <c r="C19" s="12" t="s">
        <v>30</v>
      </c>
      <c r="D19" s="13" t="s">
        <v>49</v>
      </c>
      <c r="E19" s="12" t="s">
        <v>59</v>
      </c>
      <c r="F19" s="12" t="s">
        <v>60</v>
      </c>
      <c r="G19" s="12" t="s">
        <v>70</v>
      </c>
      <c r="H19" s="12" t="s">
        <v>85</v>
      </c>
      <c r="I19" s="12" t="s">
        <v>37</v>
      </c>
      <c r="J19" s="12" t="s">
        <v>37</v>
      </c>
    </row>
    <row customHeight="1" ht="33" r="20">
      <c r="B20" s="12">
        <f>HYPERLINK("https://gesdoc.uis.edu.co/share/page/folder-details?nodeRef=workspace://SpacesStore/52c41693-d3ae-4276-b690-bb8c093fd040","0020_2026000384_6820")</f>
      </c>
      <c r="C20" s="12" t="s">
        <v>31</v>
      </c>
      <c r="D20" s="13" t="s">
        <v>50</v>
      </c>
      <c r="E20" s="12" t="s">
        <v>59</v>
      </c>
      <c r="F20" s="12" t="s">
        <v>62</v>
      </c>
      <c r="G20" s="12" t="s">
        <v>71</v>
      </c>
      <c r="H20" s="12" t="s">
        <v>71</v>
      </c>
      <c r="I20" s="12" t="s">
        <v>37</v>
      </c>
      <c r="J20" s="12" t="s">
        <v>37</v>
      </c>
    </row>
    <row customHeight="1" ht="33" r="21">
      <c r="B21" s="12">
        <f>HYPERLINK("https://gesdoc.uis.edu.co/share/page/folder-details?nodeRef=workspace://SpacesStore/0bc86c8f-437b-4075-a1d0-559bd7d3cf2a","0234_2026012231_7983")</f>
      </c>
      <c r="C21" s="12" t="s">
        <v>32</v>
      </c>
      <c r="D21" s="13" t="s">
        <v>51</v>
      </c>
      <c r="E21" s="12" t="s">
        <v>59</v>
      </c>
      <c r="F21" s="12" t="s">
        <v>63</v>
      </c>
      <c r="G21" s="12" t="s">
        <v>72</v>
      </c>
      <c r="H21" s="12" t="s">
        <v>86</v>
      </c>
      <c r="I21" s="12" t="s">
        <v>37</v>
      </c>
      <c r="J21" s="12" t="s">
        <v>37</v>
      </c>
    </row>
    <row customHeight="1" ht="33" r="22">
      <c r="B22" s="12">
        <f>HYPERLINK("https://gesdoc.uis.edu.co/share/page/folder-details?nodeRef=workspace://SpacesStore/14a81065-dc95-4dbc-b592-77986ea71c88","0018_2026002531_7983")</f>
      </c>
      <c r="C22" s="12" t="s">
        <v>33</v>
      </c>
      <c r="D22" s="13" t="s">
        <v>51</v>
      </c>
      <c r="E22" s="12" t="s">
        <v>59</v>
      </c>
      <c r="F22" s="12" t="s">
        <v>60</v>
      </c>
      <c r="G22" s="12" t="s">
        <v>73</v>
      </c>
      <c r="H22" s="12" t="s">
        <v>73</v>
      </c>
      <c r="I22" s="12" t="s">
        <v>37</v>
      </c>
      <c r="J22" s="12" t="s">
        <v>37</v>
      </c>
    </row>
    <row customHeight="1" ht="33" r="23">
      <c r="B23" s="12">
        <f>HYPERLINK("https://gesdoc.uis.edu.co/share/page/folder-details?nodeRef=workspace://SpacesStore/05ba511f-a82b-416b-bb41-a495dace487b","0018_2026002532_9339")</f>
      </c>
      <c r="C23" s="12" t="s">
        <v>34</v>
      </c>
      <c r="D23" s="13" t="s">
        <v>51</v>
      </c>
      <c r="E23" s="12" t="s">
        <v>59</v>
      </c>
      <c r="F23" s="12" t="s">
        <v>60</v>
      </c>
      <c r="G23" s="12" t="s">
        <v>74</v>
      </c>
      <c r="H23" s="12" t="s">
        <v>87</v>
      </c>
      <c r="I23" s="12" t="s">
        <v>37</v>
      </c>
      <c r="J23" s="12" t="s">
        <v>37</v>
      </c>
    </row>
    <row customHeight="1" ht="33" r="24">
      <c r="B24" s="12">
        <f>HYPERLINK("https://gesdoc.uis.edu.co/share/page/folder-details?nodeRef=workspace://SpacesStore/783629be-8f44-445c-9726-8402f68edda8","0298_2026000272_7061")</f>
      </c>
      <c r="C24" s="12" t="s">
        <v>35</v>
      </c>
      <c r="D24" s="13" t="s">
        <v>52</v>
      </c>
      <c r="E24" s="12" t="s">
        <v>59</v>
      </c>
      <c r="F24" s="12" t="s">
        <v>64</v>
      </c>
      <c r="G24" s="12" t="s">
        <v>75</v>
      </c>
      <c r="H24" s="12" t="s">
        <v>75</v>
      </c>
      <c r="I24" s="12" t="s">
        <v>37</v>
      </c>
      <c r="J24" s="12" t="s">
        <v>37</v>
      </c>
    </row>
    <row customHeight="1" ht="33" r="25">
      <c r="B25" s="12">
        <f>HYPERLINK("https://gesdoc.uis.edu.co/share/page/folder-details?nodeRef=workspace://SpacesStore/11f728ac-6575-4d76-8c6e-f9ab7ed1f47a","0018_2026002590_7016")</f>
      </c>
      <c r="C25" s="12" t="s">
        <v>36</v>
      </c>
      <c r="D25" s="13" t="s">
        <v>49</v>
      </c>
      <c r="E25" s="12" t="s">
        <v>59</v>
      </c>
      <c r="F25" s="12" t="s">
        <v>60</v>
      </c>
      <c r="G25" s="12" t="s">
        <v>76</v>
      </c>
      <c r="H25" s="12" t="s">
        <v>88</v>
      </c>
      <c r="I25" s="12" t="s">
        <v>37</v>
      </c>
      <c r="J25" s="12" t="s">
        <v>37</v>
      </c>
    </row>
    <row customHeight="1" ht="33" r="26">
      <c r="B26" s="12">
        <f>HYPERLINK("https://gesdoc.uis.edu.co/share/page/folder-details?nodeRef=workspace://SpacesStore/5a427b2b-b409-4696-8ec7-4b691e19b9a7","18_2026002537_9342")</f>
      </c>
      <c r="C26" s="12" t="s">
        <v>37</v>
      </c>
      <c r="D26" s="13" t="s">
        <v>53</v>
      </c>
      <c r="E26" s="12" t="s">
        <v>59</v>
      </c>
      <c r="F26" s="12" t="s">
        <v>60</v>
      </c>
      <c r="G26" s="12" t="s">
        <v>77</v>
      </c>
      <c r="H26" s="12" t="s">
        <v>77</v>
      </c>
      <c r="I26" s="12" t="s">
        <v>37</v>
      </c>
      <c r="J26" s="12" t="s">
        <v>37</v>
      </c>
    </row>
    <row customHeight="1" ht="33" r="27">
      <c r="B27" s="12">
        <f>HYPERLINK("https://gesdoc.uis.edu.co/share/page/folder-details?nodeRef=workspace://SpacesStore/8a79fd40-c186-455e-8ba7-8ee4fd1d9864","0018_2026002557_9269")</f>
      </c>
      <c r="C27" s="12" t="s">
        <v>38</v>
      </c>
      <c r="D27" s="13" t="s">
        <v>51</v>
      </c>
      <c r="E27" s="12" t="s">
        <v>59</v>
      </c>
      <c r="F27" s="12" t="s">
        <v>60</v>
      </c>
      <c r="G27" s="12" t="s">
        <v>78</v>
      </c>
      <c r="H27" s="12" t="s">
        <v>78</v>
      </c>
      <c r="I27" s="12" t="s">
        <v>37</v>
      </c>
      <c r="J27" s="12" t="s">
        <v>37</v>
      </c>
    </row>
    <row customHeight="1" ht="33" r="28">
      <c r="B28" s="12">
        <f>HYPERLINK("https://gesdoc.uis.edu.co/share/page/folder-details?nodeRef=workspace://SpacesStore/26db359b-446b-4e8d-b280-b90ed8df5c27","0018_2026002573_7077")</f>
      </c>
      <c r="C28" s="12" t="s">
        <v>39</v>
      </c>
      <c r="D28" s="13" t="s">
        <v>54</v>
      </c>
      <c r="E28" s="12" t="s">
        <v>59</v>
      </c>
      <c r="F28" s="12" t="s">
        <v>60</v>
      </c>
      <c r="G28" s="12" t="s">
        <v>79</v>
      </c>
      <c r="H28" s="12" t="s">
        <v>79</v>
      </c>
      <c r="I28" s="12" t="s">
        <v>37</v>
      </c>
      <c r="J28" s="12" t="s">
        <v>37</v>
      </c>
    </row>
    <row customHeight="1" ht="33" r="29">
      <c r="B29" s="12">
        <f>HYPERLINK("https://gesdoc.uis.edu.co/share/page/folder-details?nodeRef=workspace://SpacesStore/ed264204-c820-4a88-b655-da75cd109abe","0020_2026000376")</f>
      </c>
      <c r="C29" s="12" t="s">
        <v>40</v>
      </c>
      <c r="D29" s="13" t="s">
        <v>55</v>
      </c>
      <c r="E29" s="12" t="s">
        <v>59</v>
      </c>
      <c r="F29" s="12" t="s">
        <v>62</v>
      </c>
      <c r="G29" s="12" t="s">
        <v>80</v>
      </c>
      <c r="H29" s="12" t="s">
        <v>80</v>
      </c>
      <c r="I29" s="12" t="s">
        <v>37</v>
      </c>
      <c r="J29" s="12" t="s">
        <v>37</v>
      </c>
    </row>
    <row customHeight="1" ht="33" r="30">
      <c r="B30" s="12">
        <f>HYPERLINK("https://gesdoc.uis.edu.co/share/page/folder-details?nodeRef=workspace://SpacesStore/c36a81ad-83e4-446c-9769-14a3ca980234","0018_2026002549_3180")</f>
      </c>
      <c r="C30" s="12" t="s">
        <v>41</v>
      </c>
      <c r="D30" s="13" t="s">
        <v>56</v>
      </c>
      <c r="E30" s="12" t="s">
        <v>59</v>
      </c>
      <c r="F30" s="12" t="s">
        <v>60</v>
      </c>
      <c r="G30" s="12" t="s">
        <v>81</v>
      </c>
      <c r="H30" s="12" t="s">
        <v>81</v>
      </c>
      <c r="I30" s="12" t="s">
        <v>37</v>
      </c>
      <c r="J30" s="12" t="s">
        <v>37</v>
      </c>
    </row>
    <row customHeight="1" ht="33" r="31">
      <c r="B31" s="12">
        <f>HYPERLINK("https://gesdoc.uis.edu.co/share/page/folder-details?nodeRef=workspace://SpacesStore/29df27c6-943f-440d-800b-e693189e9c3b","0019_2026000122_7063")</f>
      </c>
      <c r="C31" s="12" t="s">
        <v>42</v>
      </c>
      <c r="D31" s="13" t="s">
        <v>57</v>
      </c>
      <c r="E31" s="12" t="s">
        <v>59</v>
      </c>
      <c r="F31" s="12" t="s">
        <v>61</v>
      </c>
      <c r="G31" s="12" t="s">
        <v>82</v>
      </c>
      <c r="H31" s="12" t="s">
        <v>82</v>
      </c>
      <c r="I31" s="12" t="s">
        <v>37</v>
      </c>
      <c r="J31" s="12" t="s">
        <v>37</v>
      </c>
    </row>
    <row customHeight="1" ht="33" r="32">
      <c r="B32" s="12">
        <f>HYPERLINK("https://gesdoc.uis.edu.co/share/page/folder-details?nodeRef=workspace://SpacesStore/104fee6e-2886-4645-9216-41391c3e52c1","0020_2026000397_7810")</f>
      </c>
      <c r="C32" s="12" t="s">
        <v>43</v>
      </c>
      <c r="D32" s="13" t="s">
        <v>58</v>
      </c>
      <c r="E32" s="12" t="s">
        <v>59</v>
      </c>
      <c r="F32" s="12" t="s">
        <v>62</v>
      </c>
      <c r="G32" s="12" t="s">
        <v>70</v>
      </c>
      <c r="H32" s="12" t="s">
        <v>89</v>
      </c>
      <c r="I32" s="12" t="s">
        <v>37</v>
      </c>
      <c r="J32" s="12" t="s">
        <v>37</v>
      </c>
    </row>
    <row customHeight="1" ht="33" r="33">
      <c r="B33" s="12">
        <f>HYPERLINK("https://gesdoc.uis.edu.co/share/page/folder-details?nodeRef=workspace://SpacesStore/a9231a91-00be-4a8e-a932-fb8fea6e5f3e","0018_2026002574_9174")</f>
      </c>
      <c r="C33" s="12" t="s">
        <v>44</v>
      </c>
      <c r="D33" s="13" t="s">
        <v>47</v>
      </c>
      <c r="E33" s="12" t="s">
        <v>59</v>
      </c>
      <c r="F33" s="12" t="s">
        <v>60</v>
      </c>
      <c r="G33" s="12" t="s">
        <v>68</v>
      </c>
      <c r="H33" s="12" t="s">
        <v>68</v>
      </c>
      <c r="I33" s="12" t="s">
        <v>37</v>
      </c>
      <c r="J33" s="12" t="s">
        <v>37</v>
      </c>
    </row>
    <row customHeight="1" ht="12.4" r="34">
      <c r="B34" s="10"/>
      <c r="C34" s="10"/>
      <c r="D34" s="10"/>
      <c r="E34" s="10"/>
      <c r="F34" s="10"/>
      <c r="G34" s="10"/>
      <c r="H34" s="10"/>
      <c r="I34" s="10"/>
      <c r="J34" s="10"/>
    </row>
    <row customHeight="1" ht="13.15" r="35">
      <c r="B35" s="10"/>
      <c r="C35" s="10"/>
      <c r="E35" s="10"/>
      <c r="F35" s="10"/>
      <c r="G35" s="10"/>
      <c r="H35" s="10"/>
      <c r="I35" s="10"/>
      <c r="J35" s="10"/>
    </row>
    <row customHeight="1" ht="13.5" r="36">
      <c r="B36" s="10"/>
      <c r="J36" s="10"/>
    </row>
    <row ht="12.75" r="37">
      <c r="B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ht="12.75" r="39">
      <c r="B39" s="10"/>
      <c r="C39" s="10"/>
      <c r="D39" s="10"/>
      <c r="E39" s="10"/>
      <c r="F39" s="10"/>
      <c r="G39" s="10"/>
      <c r="H39" s="10"/>
      <c r="I39" s="10"/>
      <c r="J39" s="10"/>
    </row>
    <row ht="12.75" r="40">
      <c r="B40" s="10"/>
      <c r="C40" s="10"/>
      <c r="D40" s="10"/>
      <c r="E40" s="10"/>
      <c r="F40" s="10"/>
      <c r="G40" s="10"/>
      <c r="H40" s="10"/>
      <c r="I40" s="10"/>
      <c r="J40" s="10"/>
    </row>
    <row ht="12.75" r="41">
      <c r="B41" s="10"/>
      <c r="C41" s="10"/>
      <c r="D41" s="10"/>
      <c r="E41" s="10"/>
      <c r="F41" s="10"/>
      <c r="G41" s="10"/>
      <c r="H41" s="10"/>
      <c r="I41" s="10"/>
      <c r="J41" s="10"/>
    </row>
    <row ht="12.75" r="42"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B43" s="10"/>
      <c r="C43" s="10"/>
      <c r="D43" s="10"/>
      <c r="E43" s="10"/>
      <c r="F43" s="10"/>
      <c r="G43" s="10"/>
      <c r="H43" s="10"/>
      <c r="I43" s="10"/>
      <c r="J43" s="10"/>
    </row>
    <row ht="12.75" r="44">
      <c r="B44" s="10"/>
      <c r="C44" s="10"/>
      <c r="D44" s="10"/>
      <c r="E44" s="10"/>
      <c r="F44" s="10"/>
      <c r="G44" s="10"/>
      <c r="H44" s="10"/>
      <c r="I44" s="10"/>
      <c r="J44" s="10"/>
    </row>
    <row ht="12.75" r="45">
      <c r="B45" s="10"/>
      <c r="C45" s="10"/>
      <c r="D45" s="10"/>
      <c r="E45" s="10"/>
      <c r="F45" s="10"/>
      <c r="G45" s="10"/>
      <c r="H45" s="10"/>
      <c r="I45" s="10"/>
      <c r="J45" s="10"/>
    </row>
    <row customHeight="1" ht="12.4" r="46">
      <c r="B46" s="10"/>
      <c r="C46" s="10"/>
      <c r="D46" s="10"/>
      <c r="E46" s="10"/>
      <c r="F46" s="10"/>
      <c r="G46" s="10"/>
      <c r="H46" s="10"/>
      <c r="I46" s="10"/>
      <c r="J46" s="10"/>
    </row>
    <row ht="12.75" r="47"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B49" s="10"/>
      <c r="C49" s="10"/>
      <c r="D49" s="10"/>
      <c r="E49" s="10"/>
      <c r="F49" s="10"/>
      <c r="G49" s="10"/>
      <c r="H49" s="10"/>
      <c r="I49" s="10"/>
      <c r="J49" s="10"/>
    </row>
    <row ht="12.75" r="50"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B55" s="10"/>
      <c r="C55" s="10"/>
      <c r="D55" s="10"/>
      <c r="E55" s="10"/>
      <c r="F55" s="10"/>
      <c r="G55" s="10"/>
      <c r="H55" s="10"/>
      <c r="I55" s="10"/>
      <c r="J55" s="10"/>
    </row>
    <row customHeight="1" ht="12.4" r="56">
      <c r="B56" s="10"/>
      <c r="C56" s="10"/>
      <c r="D56" s="10"/>
      <c r="E56" s="10"/>
      <c r="F56" s="10"/>
      <c r="G56" s="10"/>
      <c r="H56" s="10"/>
      <c r="I56" s="10"/>
      <c r="J56" s="10"/>
    </row>
    <row customHeight="1" ht="12.4" r="57"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B58" s="10"/>
      <c r="C58" s="10"/>
      <c r="D58" s="10"/>
      <c r="E58" s="10"/>
      <c r="F58" s="10"/>
      <c r="G58" s="10"/>
      <c r="H58" s="10"/>
      <c r="I58" s="10"/>
      <c r="J58" s="10"/>
    </row>
    <row customHeight="1" ht="12.4" r="59">
      <c r="B59" s="10"/>
      <c r="C59" s="10"/>
      <c r="D59" s="10"/>
      <c r="E59" s="10"/>
      <c r="F59" s="10"/>
      <c r="G59" s="10"/>
      <c r="H59" s="10"/>
      <c r="I59" s="10"/>
      <c r="J59" s="10"/>
    </row>
    <row customHeight="1" ht="12.4" r="60">
      <c r="B60" s="10"/>
      <c r="C60" s="10"/>
      <c r="D60" s="10"/>
      <c r="E60" s="10"/>
      <c r="F60" s="10"/>
      <c r="G60" s="10"/>
      <c r="H60" s="10"/>
      <c r="I60" s="10"/>
      <c r="J60" s="10"/>
    </row>
    <row customHeight="1" ht="13.1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customHeight="1" ht="12.4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ht="12.75"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ht="12.75"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