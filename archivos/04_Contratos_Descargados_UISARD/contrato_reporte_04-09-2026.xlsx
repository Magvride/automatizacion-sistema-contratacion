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<sst xmlns="http://schemas.openxmlformats.org/spreadsheetml/2006/main" count="58" uniqueCount="58">
  <si>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</si>
  <si>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</si>
  <si>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</si>
  <si>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</si>
  <si>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</si>
  <si>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</si>
  <si>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</si>
  <si>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</si>
  <si>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</si>
  <si>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</si>
  <si>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</si>
  <si>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</si>
  <si>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</si>
  <si>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</si>
  <si>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</si>
  <si>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</si>
  <si>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</si>
  <si>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</si>
  <si>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</si>
  <si>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</si>
  <si>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</si>
  <si>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</si>
  <si>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03/09/2026 al ${table:fechaHasta}</t>
  </si>
  <si>
    <t>Fecha del reporte: 03/09/2026 al 03/09/2026</t>
  </si>
  <si>
    <t>20-2026000372</t>
  </si>
  <si>
    <t>19-2026000123</t>
  </si>
  <si>
    <t>234-2026012262</t>
  </si>
  <si>
    <t>234-2026012260</t>
  </si>
  <si>
    <t>18-2026002533</t>
  </si>
  <si>
    <t/>
  </si>
  <si>
    <t>20-2026000387</t>
  </si>
  <si>
    <t>18-2026002529</t>
  </si>
  <si>
    <t>18-2026002517</t>
  </si>
  <si>
    <t>4110_VICE_INVESTIGACION_EXTENSION</t>
  </si>
  <si>
    <t>3150_DMT</t>
  </si>
  <si>
    <t>2240_SEDE_BARRANCABERMEJA</t>
  </si>
  <si>
    <t>6560_ESC_ING_MECANICA</t>
  </si>
  <si>
    <t>2250_SEDE_BARBOSA</t>
  </si>
  <si>
    <t>6861_DPTO_CIENCIAS_BASICAS</t>
  </si>
  <si>
    <t>C09_CONTRATOS</t>
  </si>
  <si>
    <t>C09.08_ORDEN_COMPRA</t>
  </si>
  <si>
    <t>C09.12_ORDEN_TRABAJO</t>
  </si>
  <si>
    <t>C09.10_ORDEN_PAGO</t>
  </si>
  <si>
    <t>C09.11_ORDEN_PRESTACION_SERVICIOS</t>
  </si>
  <si>
    <t>03/09/2026 10:18</t>
  </si>
  <si>
    <t>03/09/2026 09:16</t>
  </si>
  <si>
    <t>03/09/2026 09:03</t>
  </si>
  <si>
    <t>03/09/2026 08:18</t>
  </si>
  <si>
    <t>03/09/2026 10:50</t>
  </si>
  <si>
    <t>03/09/2026 11:14</t>
  </si>
  <si>
    <t>03/09/2026 15:07</t>
  </si>
  <si>
    <t>03/09/2026 15:33</t>
  </si>
  <si>
    <t>03/09/2026 11:04</t>
  </si>
  <si>
    <t>03/09/2026 10:19</t>
  </si>
  <si>
    <t>03/09/2026 09:19</t>
  </si>
  <si>
    <t>03/09/2026 15:10</t>
  </si>
  <si>
    <t>03/09/2026 15:36</t>
  </si>
  <si>
    <t>03/09/2026 15:58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</si>
</sst>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HYPERLINK("https://gesdoc.uis.edu.co/share/page/folder-details?nodeRef=workspace://SpacesStore/2ba3e037-e070-4bea-9d60-931ac9ae08e8","0020_2026000372_7884")</f>
      </c>
      <c r="C13" s="12" t="s">
        <v>24</v>
      </c>
      <c r="D13" s="13" t="s">
        <v>33</v>
      </c>
      <c r="E13" s="12" t="s">
        <v>39</v>
      </c>
      <c r="F13" s="12" t="s">
        <v>40</v>
      </c>
      <c r="G13" s="12" t="s">
        <v>44</v>
      </c>
      <c r="H13" s="12" t="s">
        <v>53</v>
      </c>
      <c r="I13" s="12" t="s">
        <v>29</v>
      </c>
      <c r="J13" s="12" t="s">
        <v>29</v>
      </c>
    </row>
    <row customHeight="1" ht="33" r="14">
      <c r="B14" s="12">
        <f>HYPERLINK("https://gesdoc.uis.edu.co/share/page/folder-details?nodeRef=workspace://SpacesStore/fe064b24-0407-4e18-9aea-bbe7d8f266e4","0019_2026000123_7063")</f>
      </c>
      <c r="C14" s="12" t="s">
        <v>25</v>
      </c>
      <c r="D14" s="13" t="s">
        <v>34</v>
      </c>
      <c r="E14" s="12" t="s">
        <v>39</v>
      </c>
      <c r="F14" s="12" t="s">
        <v>41</v>
      </c>
      <c r="G14" s="12" t="s">
        <v>45</v>
      </c>
      <c r="H14" s="12" t="s">
        <v>54</v>
      </c>
      <c r="I14" s="12" t="s">
        <v>29</v>
      </c>
      <c r="J14" s="12" t="s">
        <v>29</v>
      </c>
    </row>
    <row customHeight="1" ht="33" r="15">
      <c r="B15" s="12">
        <f>HYPERLINK("https://gesdoc.uis.edu.co/share/page/folder-details?nodeRef=workspace://SpacesStore/bd43f0cf-ef31-4673-8ed0-77368f2ca22c","0234_2026012262_2240")</f>
      </c>
      <c r="C15" s="12" t="s">
        <v>26</v>
      </c>
      <c r="D15" s="13" t="s">
        <v>35</v>
      </c>
      <c r="E15" s="12" t="s">
        <v>39</v>
      </c>
      <c r="F15" s="12" t="s">
        <v>42</v>
      </c>
      <c r="G15" s="12" t="s">
        <v>46</v>
      </c>
      <c r="H15" s="12" t="s">
        <v>46</v>
      </c>
      <c r="I15" s="12" t="s">
        <v>29</v>
      </c>
      <c r="J15" s="12" t="s">
        <v>29</v>
      </c>
    </row>
    <row customHeight="1" ht="33" r="16">
      <c r="B16" s="12">
        <f>HYPERLINK("https://gesdoc.uis.edu.co/share/page/folder-details?nodeRef=workspace://SpacesStore/cf70bfdd-8e4c-4aa0-ad09-71893fea8cd0","0234_2026012260_2240")</f>
      </c>
      <c r="C16" s="12" t="s">
        <v>27</v>
      </c>
      <c r="D16" s="13" t="s">
        <v>35</v>
      </c>
      <c r="E16" s="12" t="s">
        <v>39</v>
      </c>
      <c r="F16" s="12" t="s">
        <v>42</v>
      </c>
      <c r="G16" s="12" t="s">
        <v>47</v>
      </c>
      <c r="H16" s="12" t="s">
        <v>47</v>
      </c>
      <c r="I16" s="12" t="s">
        <v>29</v>
      </c>
      <c r="J16" s="12" t="s">
        <v>29</v>
      </c>
    </row>
    <row customHeight="1" ht="33" r="17">
      <c r="B17" s="12">
        <f>HYPERLINK("https://gesdoc.uis.edu.co/share/page/folder-details?nodeRef=workspace://SpacesStore/e4f55a70-81dc-42b5-bc13-65f6d13a7a9b","0018_2026002533_9249")</f>
      </c>
      <c r="C17" s="12" t="s">
        <v>28</v>
      </c>
      <c r="D17" s="13" t="s">
        <v>36</v>
      </c>
      <c r="E17" s="12" t="s">
        <v>39</v>
      </c>
      <c r="F17" s="12" t="s">
        <v>43</v>
      </c>
      <c r="G17" s="12" t="s">
        <v>48</v>
      </c>
      <c r="H17" s="12" t="s">
        <v>48</v>
      </c>
      <c r="I17" s="12" t="s">
        <v>29</v>
      </c>
      <c r="J17" s="12" t="s">
        <v>29</v>
      </c>
    </row>
    <row customHeight="1" ht="33" r="18">
      <c r="B18" s="12">
        <f>HYPERLINK("https://gesdoc.uis.edu.co/share/page/folder-details?nodeRef=workspace://SpacesStore/097b9500-2bc9-40f9-ae0c-073709f39004","2026012236_2250")</f>
      </c>
      <c r="C18" s="12" t="s">
        <v>29</v>
      </c>
      <c r="D18" s="13" t="s">
        <v>37</v>
      </c>
      <c r="E18" s="12" t="s">
        <v>39</v>
      </c>
      <c r="F18" s="12" t="s">
        <v>42</v>
      </c>
      <c r="G18" s="12" t="s">
        <v>49</v>
      </c>
      <c r="H18" s="12" t="s">
        <v>49</v>
      </c>
      <c r="I18" s="12" t="s">
        <v>29</v>
      </c>
      <c r="J18" s="12" t="s">
        <v>29</v>
      </c>
    </row>
    <row customHeight="1" ht="33" r="19">
      <c r="B19" s="12">
        <f>HYPERLINK("https://gesdoc.uis.edu.co/share/page/folder-details?nodeRef=workspace://SpacesStore/0d3999de-6a98-4131-93ec-2e8a95a4b693","0020_2026000387_6861")</f>
      </c>
      <c r="C19" s="12" t="s">
        <v>30</v>
      </c>
      <c r="D19" s="13" t="s">
        <v>38</v>
      </c>
      <c r="E19" s="12" t="s">
        <v>39</v>
      </c>
      <c r="F19" s="12" t="s">
        <v>40</v>
      </c>
      <c r="G19" s="12" t="s">
        <v>50</v>
      </c>
      <c r="H19" s="12" t="s">
        <v>55</v>
      </c>
      <c r="I19" s="12" t="s">
        <v>29</v>
      </c>
      <c r="J19" s="12" t="s">
        <v>29</v>
      </c>
    </row>
    <row customHeight="1" ht="33" r="20">
      <c r="B20" s="12">
        <f>HYPERLINK("https://gesdoc.uis.edu.co/share/page/folder-details?nodeRef=workspace://SpacesStore/ea829b41-7807-4283-99bf-8624b84d65fd","0018_2026002529_7884")</f>
      </c>
      <c r="C20" s="12" t="s">
        <v>31</v>
      </c>
      <c r="D20" s="13" t="s">
        <v>33</v>
      </c>
      <c r="E20" s="12" t="s">
        <v>39</v>
      </c>
      <c r="F20" s="12" t="s">
        <v>43</v>
      </c>
      <c r="G20" s="12" t="s">
        <v>51</v>
      </c>
      <c r="H20" s="12" t="s">
        <v>56</v>
      </c>
      <c r="I20" s="12" t="s">
        <v>29</v>
      </c>
      <c r="J20" s="12" t="s">
        <v>29</v>
      </c>
    </row>
    <row customHeight="1" ht="33" r="21">
      <c r="B21" s="12">
        <f>HYPERLINK("https://gesdoc.uis.edu.co/share/page/folder-details?nodeRef=workspace://SpacesStore/9fef4c2e-0884-47ab-a831-29b8ccf1e81f","0018_2026002517_7884")</f>
      </c>
      <c r="C21" s="12" t="s">
        <v>32</v>
      </c>
      <c r="D21" s="13" t="s">
        <v>33</v>
      </c>
      <c r="E21" s="12" t="s">
        <v>39</v>
      </c>
      <c r="F21" s="12" t="s">
        <v>43</v>
      </c>
      <c r="G21" s="12" t="s">
        <v>52</v>
      </c>
      <c r="H21" s="12" t="s">
        <v>57</v>
      </c>
      <c r="I21" s="12" t="s">
        <v>29</v>
      </c>
      <c r="J21" s="12" t="s">
        <v>29</v>
      </c>
    </row>
    <row customHeight="1" ht="12.4" r="22">
      <c r="B22" s="10"/>
      <c r="C22" s="10"/>
      <c r="D22" s="10"/>
      <c r="E22" s="10"/>
      <c r="F22" s="10"/>
      <c r="G22" s="10"/>
      <c r="H22" s="10"/>
      <c r="I22" s="10"/>
      <c r="J22" s="10"/>
    </row>
    <row customHeight="1" ht="13.15" r="23">
      <c r="B23" s="10"/>
      <c r="C23" s="10"/>
      <c r="E23" s="10"/>
      <c r="F23" s="10"/>
      <c r="G23" s="10"/>
      <c r="H23" s="10"/>
      <c r="I23" s="10"/>
      <c r="J23" s="10"/>
    </row>
    <row customHeight="1" ht="13.5" r="24">
      <c r="B24" s="10"/>
      <c r="J24" s="10"/>
    </row>
    <row ht="12.75" r="25">
      <c r="B25" s="10"/>
      <c r="J25" s="10"/>
    </row>
    <row ht="12.75" r="26">
      <c r="B26" s="10"/>
      <c r="C26" s="10"/>
      <c r="D26" s="10"/>
      <c r="E26" s="10"/>
      <c r="F26" s="10"/>
      <c r="G26" s="10"/>
      <c r="H26" s="10"/>
      <c r="I26" s="10"/>
      <c r="J26" s="10"/>
    </row>
    <row ht="12.75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ht="12.75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customHeight="1" ht="12.4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ht="12.75" r="36">
      <c r="B36" s="10"/>
      <c r="C36" s="10"/>
      <c r="D36" s="10"/>
      <c r="E36" s="10"/>
      <c r="F36" s="10"/>
      <c r="G36" s="10"/>
      <c r="H36" s="10"/>
      <c r="I36" s="10"/>
      <c r="J36" s="10"/>
    </row>
    <row ht="12.75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ht="12.75" r="39">
      <c r="B39" s="10"/>
      <c r="C39" s="10"/>
      <c r="D39" s="10"/>
      <c r="E39" s="10"/>
      <c r="F39" s="10"/>
      <c r="G39" s="10"/>
      <c r="H39" s="10"/>
      <c r="I39" s="10"/>
      <c r="J39" s="10"/>
    </row>
    <row ht="12.75" r="40">
      <c r="B40" s="10"/>
      <c r="C40" s="10"/>
      <c r="D40" s="10"/>
      <c r="E40" s="10"/>
      <c r="F40" s="10"/>
      <c r="G40" s="10"/>
      <c r="H40" s="10"/>
      <c r="I40" s="10"/>
      <c r="J40" s="10"/>
    </row>
    <row ht="12.75" r="41"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B43" s="10"/>
      <c r="C43" s="10"/>
      <c r="D43" s="10"/>
      <c r="E43" s="10"/>
      <c r="F43" s="10"/>
      <c r="G43" s="10"/>
      <c r="H43" s="10"/>
      <c r="I43" s="10"/>
      <c r="J43" s="10"/>
    </row>
    <row customHeight="1" ht="12.4" r="44">
      <c r="B44" s="10"/>
      <c r="C44" s="10"/>
      <c r="D44" s="10"/>
      <c r="E44" s="10"/>
      <c r="F44" s="10"/>
      <c r="G44" s="10"/>
      <c r="H44" s="10"/>
      <c r="I44" s="10"/>
      <c r="J44" s="10"/>
    </row>
    <row customHeight="1" ht="12.4" r="45"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B46" s="10"/>
      <c r="C46" s="10"/>
      <c r="D46" s="10"/>
      <c r="E46" s="10"/>
      <c r="F46" s="10"/>
      <c r="G46" s="10"/>
      <c r="H46" s="10"/>
      <c r="I46" s="10"/>
      <c r="J46" s="10"/>
    </row>
    <row customHeight="1" ht="12.4" r="47">
      <c r="B47" s="10"/>
      <c r="C47" s="10"/>
      <c r="D47" s="10"/>
      <c r="E47" s="10"/>
      <c r="F47" s="10"/>
      <c r="G47" s="10"/>
      <c r="H47" s="10"/>
      <c r="I47" s="10"/>
      <c r="J47" s="10"/>
    </row>
    <row customHeight="1" ht="12.4" r="48">
      <c r="B48" s="10"/>
      <c r="C48" s="10"/>
      <c r="D48" s="10"/>
      <c r="E48" s="10"/>
      <c r="F48" s="10"/>
      <c r="G48" s="10"/>
      <c r="H48" s="10"/>
      <c r="I48" s="10"/>
      <c r="J48" s="10"/>
    </row>
    <row customHeight="1" ht="13.1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ht="12.75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customHeight="1" ht="12.4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