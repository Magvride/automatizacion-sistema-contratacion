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<sst xmlns="http://schemas.openxmlformats.org/spreadsheetml/2006/main" count="125" uniqueCount="125">
  <si>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</si>
  <si>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</si>
  <si>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</si>
  <si>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</si>
  <si>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</si>
  <si>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</si>
  <si>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</si>
  <si>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</si>
  <si>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</si>
  <si>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</si>
  <si>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</si>
  <si>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</si>
  <si>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</si>
  <si>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</si>
  <si>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</si>
  <si>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</si>
  <si>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</si>
  <si>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</si>
  <si>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</si>
  <si>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</si>
  <si>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</si>
  <si>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</si>
  <si>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07/09/2026 al ${table:fechaHasta}</t>
  </si>
  <si>
    <t>Fecha del reporte: 07/09/2026 al 07/09/2026</t>
  </si>
  <si>
    <t>20-2025000745</t>
  </si>
  <si>
    <t>20-2025000746</t>
  </si>
  <si>
    <t>20-2025000779</t>
  </si>
  <si>
    <t>20-2025000800</t>
  </si>
  <si>
    <t>20-2025000827</t>
  </si>
  <si>
    <t>20-2025000875</t>
  </si>
  <si>
    <t>20-2025000611</t>
  </si>
  <si>
    <t>20-2025000642</t>
  </si>
  <si>
    <t>20-2025000801</t>
  </si>
  <si>
    <t>20-2025000804</t>
  </si>
  <si>
    <t>18-2026002578</t>
  </si>
  <si>
    <t>18-2025001659</t>
  </si>
  <si>
    <t>18-2025001658</t>
  </si>
  <si>
    <t>20-2025001054</t>
  </si>
  <si>
    <t>18-2025001656</t>
  </si>
  <si>
    <t>227-2025005922</t>
  </si>
  <si>
    <t>18-2025004207</t>
  </si>
  <si>
    <t>18-2025002711</t>
  </si>
  <si>
    <t>18-2026002556</t>
  </si>
  <si>
    <t>20-2026000370</t>
  </si>
  <si>
    <t>20-2026000365</t>
  </si>
  <si>
    <t>20-2026000364</t>
  </si>
  <si>
    <t>18-2025002232</t>
  </si>
  <si>
    <t>18-2025002187</t>
  </si>
  <si>
    <t>18-2025002837</t>
  </si>
  <si>
    <t>18-2025002289</t>
  </si>
  <si>
    <t>18-2025003614</t>
  </si>
  <si>
    <t>18-2025002443</t>
  </si>
  <si>
    <t>18-2025002456</t>
  </si>
  <si>
    <t>20-2025001053</t>
  </si>
  <si>
    <t>20-2025000912</t>
  </si>
  <si>
    <t>20-2025000652</t>
  </si>
  <si>
    <t>20-2025000706</t>
  </si>
  <si>
    <t>20-2025000747</t>
  </si>
  <si>
    <t>20-2025000760</t>
  </si>
  <si>
    <t>20-2025000770</t>
  </si>
  <si>
    <t>18-2026002546</t>
  </si>
  <si>
    <t>20-2026000391</t>
  </si>
  <si>
    <t>18-2026002550</t>
  </si>
  <si>
    <t>18-2025002288</t>
  </si>
  <si>
    <t>4112_PROYECTO_8943</t>
  </si>
  <si>
    <t>4112_COORD_PROGRAMAS_PROYECTOS</t>
  </si>
  <si>
    <t>4116_DIEF_FISICO_QUIMICAS</t>
  </si>
  <si>
    <t>P11_PROYECTOS</t>
  </si>
  <si>
    <t>P11.13_PROY_REGALIAS_SGR</t>
  </si>
  <si>
    <t>P11.02_PROY_INVEST_FINAN_EXT</t>
  </si>
  <si>
    <t>P11.03_PROYECTOS_INVEST_FINAN_INTERNA</t>
  </si>
  <si>
    <t>P11.14_APOYO_GRUPOS_INVEST</t>
  </si>
  <si>
    <t>07/09/2026 10:34</t>
  </si>
  <si>
    <t>07/09/2026 10:35</t>
  </si>
  <si>
    <t>07/09/2026 10:41</t>
  </si>
  <si>
    <t>07/09/2026 10:42</t>
  </si>
  <si>
    <t>07/09/2026 10:45</t>
  </si>
  <si>
    <t>07/09/2026 10:46</t>
  </si>
  <si>
    <t>07/09/2026 10:29</t>
  </si>
  <si>
    <t>07/09/2026 10:30</t>
  </si>
  <si>
    <t>07/09/2026 10:43</t>
  </si>
  <si>
    <t>07/09/2026 10:44</t>
  </si>
  <si>
    <t>07/09/2026 09:49</t>
  </si>
  <si>
    <t>07/09/2026 10:53</t>
  </si>
  <si>
    <t>07/09/2026 10:51</t>
  </si>
  <si>
    <t>07/09/2026 10:52</t>
  </si>
  <si>
    <t>07/09/2026 11:02</t>
  </si>
  <si>
    <t>07/09/2026 10:57</t>
  </si>
  <si>
    <t>07/09/2026 10:56</t>
  </si>
  <si>
    <t>07/09/2026 14:14</t>
  </si>
  <si>
    <t>07/09/2026 14:23</t>
  </si>
  <si>
    <t>07/09/2026 14:27</t>
  </si>
  <si>
    <t>07/09/2026 10:55</t>
  </si>
  <si>
    <t>07/09/2026 10:54</t>
  </si>
  <si>
    <t>07/09/2026 10:49</t>
  </si>
  <si>
    <t>07/09/2026 10:31</t>
  </si>
  <si>
    <t>07/09/2026 10:32</t>
  </si>
  <si>
    <t>07/09/2026 10:36</t>
  </si>
  <si>
    <t>07/09/2026 10:38</t>
  </si>
  <si>
    <t>07/09/2026 10:39</t>
  </si>
  <si>
    <t>07/09/2026 14:49</t>
  </si>
  <si>
    <t>07/09/2026 14:58</t>
  </si>
  <si>
    <t>07/09/2026 16:24</t>
  </si>
  <si>
    <t>07/09/2026 16:26</t>
  </si>
  <si>
    <t>07/09/2026 10:47</t>
  </si>
  <si>
    <t>07/09/2026 09:53</t>
  </si>
  <si>
    <t>07/09/2026 09:51</t>
  </si>
  <si>
    <t>07/09/2026 14:24</t>
  </si>
  <si>
    <t>07/09/2026 14:28</t>
  </si>
  <si>
    <t>07/09/2026 10:50</t>
  </si>
  <si>
    <t>07/09/2026 10:33</t>
  </si>
  <si>
    <t>07/09/2026 10:37</t>
  </si>
  <si>
    <t>07/09/2026 10:40</t>
  </si>
  <si>
    <t>08/09/2026 07:17</t>
  </si>
  <si>
    <t>08/09/2026 07:31</t>
  </si>
  <si>
    <t>8943_BPIN_2024000100031_2025</t>
  </si>
  <si>
    <t>8060_CONTRATO_101128601</t>
  </si>
  <si>
    <t>8216_CONTRATO_153_FY25_2025</t>
  </si>
  <si>
    <t>8943_ORDEN_COMPRA</t>
  </si>
  <si>
    <t>8060_ORDEN_PRESTACION_SERVICIOS</t>
  </si>
  <si>
    <t>8943_ORDEN_PRESTACION_SERVICIOS</t>
  </si>
  <si>
    <t>8943_AUXILIATURAS</t>
  </si>
  <si>
    <t>ORDENES_COMPRA</t>
  </si>
  <si>
    <t>ORDENES_PRESTACION_SERVICIOS</t>
  </si>
  <si>
    <t>8216_ORDEN_PRESTACION_SERVICIOS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</si>
</sst>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HYPERLINK("https://gesdoc.uis.edu.co/share/page/folder-details?nodeRef=workspace://SpacesStore/50fd0637-bdd6-48db-8bb4-14f9f9ac9b9b","0020_2025000745_8943")</f>
      </c>
      <c r="C13" s="12" t="s">
        <v>24</v>
      </c>
      <c r="D13" s="13" t="s">
        <v>64</v>
      </c>
      <c r="E13" s="12" t="s">
        <v>67</v>
      </c>
      <c r="F13" s="12" t="s">
        <v>68</v>
      </c>
      <c r="G13" s="12" t="s">
        <v>72</v>
      </c>
      <c r="H13" s="12" t="s">
        <v>72</v>
      </c>
      <c r="I13" s="12" t="s">
        <v>115</v>
      </c>
      <c r="J13" s="12" t="s">
        <v>118</v>
      </c>
    </row>
    <row customHeight="1" ht="33" r="14">
      <c r="B14" s="12">
        <f>HYPERLINK("https://gesdoc.uis.edu.co/share/page/folder-details?nodeRef=workspace://SpacesStore/5b78b539-0c24-4686-bac4-81d2f2930bad","0020_2025000746_8943")</f>
      </c>
      <c r="C14" s="12" t="s">
        <v>25</v>
      </c>
      <c r="D14" s="13" t="s">
        <v>64</v>
      </c>
      <c r="E14" s="12" t="s">
        <v>67</v>
      </c>
      <c r="F14" s="12" t="s">
        <v>68</v>
      </c>
      <c r="G14" s="12" t="s">
        <v>73</v>
      </c>
      <c r="H14" s="12" t="s">
        <v>97</v>
      </c>
      <c r="I14" s="12" t="s">
        <v>115</v>
      </c>
      <c r="J14" s="12" t="s">
        <v>118</v>
      </c>
    </row>
    <row customHeight="1" ht="33" r="15">
      <c r="B15" s="12">
        <f>HYPERLINK("https://gesdoc.uis.edu.co/share/page/folder-details?nodeRef=workspace://SpacesStore/55a0fbe7-a82c-4bc5-a47d-987f5ba6f362","0020_2025000779_8943")</f>
      </c>
      <c r="C15" s="12" t="s">
        <v>26</v>
      </c>
      <c r="D15" s="13" t="s">
        <v>64</v>
      </c>
      <c r="E15" s="12" t="s">
        <v>67</v>
      </c>
      <c r="F15" s="12" t="s">
        <v>68</v>
      </c>
      <c r="G15" s="12" t="s">
        <v>74</v>
      </c>
      <c r="H15" s="12" t="s">
        <v>74</v>
      </c>
      <c r="I15" s="12" t="s">
        <v>115</v>
      </c>
      <c r="J15" s="12" t="s">
        <v>118</v>
      </c>
    </row>
    <row customHeight="1" ht="33" r="16">
      <c r="B16" s="12">
        <f>HYPERLINK("https://gesdoc.uis.edu.co/share/page/folder-details?nodeRef=workspace://SpacesStore/0900ae3d-9931-4e3a-a1e7-26939d7c20b9","0020_2025000800_8943")</f>
      </c>
      <c r="C16" s="12" t="s">
        <v>27</v>
      </c>
      <c r="D16" s="13" t="s">
        <v>64</v>
      </c>
      <c r="E16" s="12" t="s">
        <v>67</v>
      </c>
      <c r="F16" s="12" t="s">
        <v>68</v>
      </c>
      <c r="G16" s="12" t="s">
        <v>75</v>
      </c>
      <c r="H16" s="12" t="s">
        <v>75</v>
      </c>
      <c r="I16" s="12" t="s">
        <v>115</v>
      </c>
      <c r="J16" s="12" t="s">
        <v>118</v>
      </c>
    </row>
    <row customHeight="1" ht="33" r="17">
      <c r="B17" s="12">
        <f>HYPERLINK("https://gesdoc.uis.edu.co/share/page/folder-details?nodeRef=workspace://SpacesStore/e9a78ca7-31a2-43d1-a923-02720726df0f","0020_2025000827_8943")</f>
      </c>
      <c r="C17" s="12" t="s">
        <v>28</v>
      </c>
      <c r="D17" s="13" t="s">
        <v>64</v>
      </c>
      <c r="E17" s="12" t="s">
        <v>67</v>
      </c>
      <c r="F17" s="12" t="s">
        <v>68</v>
      </c>
      <c r="G17" s="12" t="s">
        <v>76</v>
      </c>
      <c r="H17" s="12" t="s">
        <v>77</v>
      </c>
      <c r="I17" s="12" t="s">
        <v>115</v>
      </c>
      <c r="J17" s="12" t="s">
        <v>118</v>
      </c>
    </row>
    <row customHeight="1" ht="33" r="18">
      <c r="B18" s="12">
        <f>HYPERLINK("https://gesdoc.uis.edu.co/share/page/folder-details?nodeRef=workspace://SpacesStore/7fcd6895-3a67-428d-bbe2-7349210d3eef","0020_2025000875_8943")</f>
      </c>
      <c r="C18" s="12" t="s">
        <v>29</v>
      </c>
      <c r="D18" s="13" t="s">
        <v>64</v>
      </c>
      <c r="E18" s="12" t="s">
        <v>67</v>
      </c>
      <c r="F18" s="12" t="s">
        <v>68</v>
      </c>
      <c r="G18" s="12" t="s">
        <v>77</v>
      </c>
      <c r="H18" s="12" t="s">
        <v>104</v>
      </c>
      <c r="I18" s="12" t="s">
        <v>115</v>
      </c>
      <c r="J18" s="12" t="s">
        <v>118</v>
      </c>
    </row>
    <row customHeight="1" ht="33" r="19">
      <c r="B19" s="12">
        <f>HYPERLINK("https://gesdoc.uis.edu.co/share/page/folder-details?nodeRef=workspace://SpacesStore/bb969f9a-93cf-4811-9a1e-5be72c9c02b0","0020_2025000611_8943")</f>
      </c>
      <c r="C19" s="12" t="s">
        <v>30</v>
      </c>
      <c r="D19" s="13" t="s">
        <v>64</v>
      </c>
      <c r="E19" s="12" t="s">
        <v>67</v>
      </c>
      <c r="F19" s="12" t="s">
        <v>68</v>
      </c>
      <c r="G19" s="12" t="s">
        <v>78</v>
      </c>
      <c r="H19" s="12" t="s">
        <v>79</v>
      </c>
      <c r="I19" s="12" t="s">
        <v>115</v>
      </c>
      <c r="J19" s="12" t="s">
        <v>118</v>
      </c>
    </row>
    <row customHeight="1" ht="33" r="20">
      <c r="B20" s="12">
        <f>HYPERLINK("https://gesdoc.uis.edu.co/share/page/folder-details?nodeRef=workspace://SpacesStore/910cb735-1335-4435-9ac2-5ae50391b9fc","0020_2025000642_8943")</f>
      </c>
      <c r="C20" s="12" t="s">
        <v>31</v>
      </c>
      <c r="D20" s="13" t="s">
        <v>64</v>
      </c>
      <c r="E20" s="12" t="s">
        <v>67</v>
      </c>
      <c r="F20" s="12" t="s">
        <v>68</v>
      </c>
      <c r="G20" s="12" t="s">
        <v>79</v>
      </c>
      <c r="H20" s="12" t="s">
        <v>95</v>
      </c>
      <c r="I20" s="12" t="s">
        <v>115</v>
      </c>
      <c r="J20" s="12" t="s">
        <v>118</v>
      </c>
    </row>
    <row customHeight="1" ht="33" r="21">
      <c r="B21" s="12">
        <f>HYPERLINK("https://gesdoc.uis.edu.co/share/page/folder-details?nodeRef=workspace://SpacesStore/e5a68cce-e451-4f29-8448-ab8d97e24017","0020_2025000801_8943")</f>
      </c>
      <c r="C21" s="12" t="s">
        <v>32</v>
      </c>
      <c r="D21" s="13" t="s">
        <v>64</v>
      </c>
      <c r="E21" s="12" t="s">
        <v>67</v>
      </c>
      <c r="F21" s="12" t="s">
        <v>68</v>
      </c>
      <c r="G21" s="12" t="s">
        <v>80</v>
      </c>
      <c r="H21" s="12" t="s">
        <v>80</v>
      </c>
      <c r="I21" s="12" t="s">
        <v>115</v>
      </c>
      <c r="J21" s="12" t="s">
        <v>118</v>
      </c>
    </row>
    <row customHeight="1" ht="33" r="22">
      <c r="B22" s="12">
        <f>HYPERLINK("https://gesdoc.uis.edu.co/share/page/folder-details?nodeRef=workspace://SpacesStore/3c746a5c-bd59-41b7-88ff-d429a9476abb","0020_2025000804_8943")</f>
      </c>
      <c r="C22" s="12" t="s">
        <v>33</v>
      </c>
      <c r="D22" s="13" t="s">
        <v>64</v>
      </c>
      <c r="E22" s="12" t="s">
        <v>67</v>
      </c>
      <c r="F22" s="12" t="s">
        <v>68</v>
      </c>
      <c r="G22" s="12" t="s">
        <v>81</v>
      </c>
      <c r="H22" s="12" t="s">
        <v>76</v>
      </c>
      <c r="I22" s="12" t="s">
        <v>115</v>
      </c>
      <c r="J22" s="12" t="s">
        <v>118</v>
      </c>
    </row>
    <row customHeight="1" ht="33" r="23">
      <c r="B23" s="12">
        <f>HYPERLINK("https://gesdoc.uis.edu.co/share/page/folder-details?nodeRef=workspace://SpacesStore/0094fc0d-2983-4c76-b659-40fc91881c73","0018_2026002578_8060")</f>
      </c>
      <c r="C23" s="12" t="s">
        <v>34</v>
      </c>
      <c r="D23" s="13" t="s">
        <v>65</v>
      </c>
      <c r="E23" s="12" t="s">
        <v>67</v>
      </c>
      <c r="F23" s="12" t="s">
        <v>69</v>
      </c>
      <c r="G23" s="12" t="s">
        <v>82</v>
      </c>
      <c r="H23" s="12" t="s">
        <v>105</v>
      </c>
      <c r="I23" s="12" t="s">
        <v>116</v>
      </c>
      <c r="J23" s="12" t="s">
        <v>119</v>
      </c>
    </row>
    <row customHeight="1" ht="33" r="24">
      <c r="B24" s="12">
        <f>HYPERLINK("https://gesdoc.uis.edu.co/share/page/folder-details?nodeRef=workspace://SpacesStore/c4ec2d38-5a06-4627-8427-d3ac3ab53756","0018_2025001659_8943")</f>
      </c>
      <c r="C24" s="12" t="s">
        <v>35</v>
      </c>
      <c r="D24" s="13" t="s">
        <v>64</v>
      </c>
      <c r="E24" s="12" t="s">
        <v>67</v>
      </c>
      <c r="F24" s="12" t="s">
        <v>68</v>
      </c>
      <c r="G24" s="12" t="s">
        <v>83</v>
      </c>
      <c r="H24" s="12" t="s">
        <v>93</v>
      </c>
      <c r="I24" s="12" t="s">
        <v>115</v>
      </c>
      <c r="J24" s="12" t="s">
        <v>120</v>
      </c>
    </row>
    <row customHeight="1" ht="33" r="25">
      <c r="B25" s="12">
        <f>HYPERLINK("https://gesdoc.uis.edu.co/share/page/folder-details?nodeRef=workspace://SpacesStore/5f813021-7df9-42f5-864a-4d4e0ec5d13a","0018_2025001658_8943")</f>
      </c>
      <c r="C25" s="12" t="s">
        <v>36</v>
      </c>
      <c r="D25" s="13" t="s">
        <v>64</v>
      </c>
      <c r="E25" s="12" t="s">
        <v>67</v>
      </c>
      <c r="F25" s="12" t="s">
        <v>68</v>
      </c>
      <c r="G25" s="12" t="s">
        <v>83</v>
      </c>
      <c r="H25" s="12" t="s">
        <v>83</v>
      </c>
      <c r="I25" s="12" t="s">
        <v>115</v>
      </c>
      <c r="J25" s="12" t="s">
        <v>120</v>
      </c>
    </row>
    <row customHeight="1" ht="33" r="26">
      <c r="B26" s="12">
        <f>HYPERLINK("https://gesdoc.uis.edu.co/share/page/folder-details?nodeRef=workspace://SpacesStore/b1c74800-019c-4cfc-a111-1cc76a25e186","0020_2025001054_8943")</f>
      </c>
      <c r="C26" s="12" t="s">
        <v>37</v>
      </c>
      <c r="D26" s="13" t="s">
        <v>64</v>
      </c>
      <c r="E26" s="12" t="s">
        <v>67</v>
      </c>
      <c r="F26" s="12" t="s">
        <v>68</v>
      </c>
      <c r="G26" s="12" t="s">
        <v>84</v>
      </c>
      <c r="H26" s="12" t="s">
        <v>84</v>
      </c>
      <c r="I26" s="12" t="s">
        <v>115</v>
      </c>
      <c r="J26" s="12" t="s">
        <v>118</v>
      </c>
    </row>
    <row customHeight="1" ht="33" r="27">
      <c r="B27" s="12">
        <f>HYPERLINK("https://gesdoc.uis.edu.co/share/page/folder-details?nodeRef=workspace://SpacesStore/7624c87e-ce14-4f55-9ccc-edc18042018b","0018_2025001656_8943")</f>
      </c>
      <c r="C27" s="12" t="s">
        <v>38</v>
      </c>
      <c r="D27" s="13" t="s">
        <v>64</v>
      </c>
      <c r="E27" s="12" t="s">
        <v>67</v>
      </c>
      <c r="F27" s="12" t="s">
        <v>68</v>
      </c>
      <c r="G27" s="12" t="s">
        <v>85</v>
      </c>
      <c r="H27" s="12" t="s">
        <v>83</v>
      </c>
      <c r="I27" s="12" t="s">
        <v>115</v>
      </c>
      <c r="J27" s="12" t="s">
        <v>120</v>
      </c>
    </row>
    <row customHeight="1" ht="33" r="28">
      <c r="B28" s="12">
        <f>HYPERLINK("https://gesdoc.uis.edu.co/share/page/folder-details?nodeRef=workspace://SpacesStore/b807046c-8d34-4c59-8a5f-cd4425a12920","0227_2025005922_8943")</f>
      </c>
      <c r="C28" s="12" t="s">
        <v>39</v>
      </c>
      <c r="D28" s="13" t="s">
        <v>64</v>
      </c>
      <c r="E28" s="12" t="s">
        <v>67</v>
      </c>
      <c r="F28" s="12" t="s">
        <v>68</v>
      </c>
      <c r="G28" s="12" t="s">
        <v>86</v>
      </c>
      <c r="H28" s="12" t="s">
        <v>86</v>
      </c>
      <c r="I28" s="12" t="s">
        <v>115</v>
      </c>
      <c r="J28" s="12" t="s">
        <v>121</v>
      </c>
    </row>
    <row customHeight="1" ht="33" r="29">
      <c r="B29" s="12">
        <f>HYPERLINK("https://gesdoc.uis.edu.co/share/page/folder-details?nodeRef=workspace://SpacesStore/8c4c2eef-300c-4b4d-b0ab-439d59bc8f6d","0018_2025004207_8943")</f>
      </c>
      <c r="C29" s="12" t="s">
        <v>40</v>
      </c>
      <c r="D29" s="13" t="s">
        <v>64</v>
      </c>
      <c r="E29" s="12" t="s">
        <v>67</v>
      </c>
      <c r="F29" s="12" t="s">
        <v>68</v>
      </c>
      <c r="G29" s="12" t="s">
        <v>87</v>
      </c>
      <c r="H29" s="12" t="s">
        <v>87</v>
      </c>
      <c r="I29" s="12" t="s">
        <v>115</v>
      </c>
      <c r="J29" s="12" t="s">
        <v>120</v>
      </c>
    </row>
    <row customHeight="1" ht="33" r="30">
      <c r="B30" s="12">
        <f>HYPERLINK("https://gesdoc.uis.edu.co/share/page/folder-details?nodeRef=workspace://SpacesStore/0a9c6302-5b39-4126-88ae-bd823a786a0d","0018_2025002711_8943")</f>
      </c>
      <c r="C30" s="12" t="s">
        <v>41</v>
      </c>
      <c r="D30" s="13" t="s">
        <v>64</v>
      </c>
      <c r="E30" s="12" t="s">
        <v>67</v>
      </c>
      <c r="F30" s="12" t="s">
        <v>68</v>
      </c>
      <c r="G30" s="12" t="s">
        <v>88</v>
      </c>
      <c r="H30" s="12" t="s">
        <v>88</v>
      </c>
      <c r="I30" s="12" t="s">
        <v>115</v>
      </c>
      <c r="J30" s="12" t="s">
        <v>120</v>
      </c>
    </row>
    <row customHeight="1" ht="33" r="31">
      <c r="B31" s="12">
        <f>HYPERLINK("https://gesdoc.uis.edu.co/share/page/folder-details?nodeRef=workspace://SpacesStore/17bed0c1-d5c9-46fa-911f-cf4741f4ff93","0018_2026002556_8060")</f>
      </c>
      <c r="C31" s="12" t="s">
        <v>42</v>
      </c>
      <c r="D31" s="13" t="s">
        <v>65</v>
      </c>
      <c r="E31" s="12" t="s">
        <v>67</v>
      </c>
      <c r="F31" s="12" t="s">
        <v>69</v>
      </c>
      <c r="G31" s="12" t="s">
        <v>82</v>
      </c>
      <c r="H31" s="12" t="s">
        <v>106</v>
      </c>
      <c r="I31" s="12" t="s">
        <v>116</v>
      </c>
      <c r="J31" s="12" t="s">
        <v>119</v>
      </c>
    </row>
    <row customHeight="1" ht="33" r="32">
      <c r="B32" s="12">
        <f>HYPERLINK("https://gesdoc.uis.edu.co/share/page/folder-details?nodeRef=workspace://SpacesStore/6020f3e2-990c-43c1-a574-1c4cfb57aeb1","0020_2026000370_4498")</f>
      </c>
      <c r="C32" s="12" t="s">
        <v>43</v>
      </c>
      <c r="D32" s="13" t="s">
        <v>66</v>
      </c>
      <c r="E32" s="12" t="s">
        <v>67</v>
      </c>
      <c r="F32" s="12" t="s">
        <v>70</v>
      </c>
      <c r="G32" s="12" t="s">
        <v>89</v>
      </c>
      <c r="H32" s="12" t="s">
        <v>89</v>
      </c>
      <c r="I32" s="12">
        <v>4498</v>
      </c>
      <c r="J32" s="12" t="s">
        <v>122</v>
      </c>
    </row>
    <row customHeight="1" ht="33" r="33">
      <c r="B33" s="12">
        <f>HYPERLINK("https://gesdoc.uis.edu.co/share/page/folder-details?nodeRef=workspace://SpacesStore/86fb1c83-daac-4834-add4-550ae6ae2793","0020_2026000365_4618")</f>
      </c>
      <c r="C33" s="12" t="s">
        <v>44</v>
      </c>
      <c r="D33" s="13" t="s">
        <v>66</v>
      </c>
      <c r="E33" s="12" t="s">
        <v>67</v>
      </c>
      <c r="F33" s="12" t="s">
        <v>70</v>
      </c>
      <c r="G33" s="12" t="s">
        <v>90</v>
      </c>
      <c r="H33" s="12" t="s">
        <v>107</v>
      </c>
      <c r="I33" s="12">
        <v>4618</v>
      </c>
      <c r="J33" s="12" t="s">
        <v>122</v>
      </c>
    </row>
    <row customHeight="1" ht="33" r="34">
      <c r="B34" s="12">
        <f>HYPERLINK("https://gesdoc.uis.edu.co/share/page/folder-details?nodeRef=workspace://SpacesStore/4dad0d8d-7b6b-46c2-9aec-b987834f04cf","0020_2026000364_4618")</f>
      </c>
      <c r="C34" s="12" t="s">
        <v>45</v>
      </c>
      <c r="D34" s="13" t="s">
        <v>66</v>
      </c>
      <c r="E34" s="12" t="s">
        <v>67</v>
      </c>
      <c r="F34" s="12" t="s">
        <v>70</v>
      </c>
      <c r="G34" s="12" t="s">
        <v>91</v>
      </c>
      <c r="H34" s="12" t="s">
        <v>108</v>
      </c>
      <c r="I34" s="12">
        <v>4618</v>
      </c>
      <c r="J34" s="12" t="s">
        <v>122</v>
      </c>
    </row>
    <row customHeight="1" ht="33" r="35">
      <c r="B35" s="12">
        <f>HYPERLINK("https://gesdoc.uis.edu.co/share/page/folder-details?nodeRef=workspace://SpacesStore/0e127b32-7907-4178-96d9-47ce020bc521","0018_2025002232_8943")</f>
      </c>
      <c r="C35" s="12" t="s">
        <v>46</v>
      </c>
      <c r="D35" s="13" t="s">
        <v>64</v>
      </c>
      <c r="E35" s="12" t="s">
        <v>67</v>
      </c>
      <c r="F35" s="12" t="s">
        <v>68</v>
      </c>
      <c r="G35" s="12" t="s">
        <v>92</v>
      </c>
      <c r="H35" s="12" t="s">
        <v>92</v>
      </c>
      <c r="I35" s="12" t="s">
        <v>115</v>
      </c>
      <c r="J35" s="12" t="s">
        <v>120</v>
      </c>
    </row>
    <row customHeight="1" ht="33" r="36">
      <c r="B36" s="12">
        <f>HYPERLINK("https://gesdoc.uis.edu.co/share/page/folder-details?nodeRef=workspace://SpacesStore/e427e648-9113-4cf8-9084-726456d4f8a0","0018_2025002187_8943")</f>
      </c>
      <c r="C36" s="12" t="s">
        <v>47</v>
      </c>
      <c r="D36" s="13" t="s">
        <v>64</v>
      </c>
      <c r="E36" s="12" t="s">
        <v>67</v>
      </c>
      <c r="F36" s="12" t="s">
        <v>68</v>
      </c>
      <c r="G36" s="12" t="s">
        <v>93</v>
      </c>
      <c r="H36" s="12" t="s">
        <v>92</v>
      </c>
      <c r="I36" s="12" t="s">
        <v>115</v>
      </c>
      <c r="J36" s="12" t="s">
        <v>120</v>
      </c>
    </row>
    <row customHeight="1" ht="33" r="37">
      <c r="B37" s="12">
        <f>HYPERLINK("https://gesdoc.uis.edu.co/share/page/folder-details?nodeRef=workspace://SpacesStore/c5e424a1-33d1-41d4-b8de-3b4be83ea42f","0018_2025002837_8943")</f>
      </c>
      <c r="C37" s="12" t="s">
        <v>48</v>
      </c>
      <c r="D37" s="13" t="s">
        <v>64</v>
      </c>
      <c r="E37" s="12" t="s">
        <v>67</v>
      </c>
      <c r="F37" s="12" t="s">
        <v>68</v>
      </c>
      <c r="G37" s="12" t="s">
        <v>88</v>
      </c>
      <c r="H37" s="12" t="s">
        <v>87</v>
      </c>
      <c r="I37" s="12" t="s">
        <v>115</v>
      </c>
      <c r="J37" s="12" t="s">
        <v>120</v>
      </c>
    </row>
    <row customHeight="1" ht="33" r="38">
      <c r="B38" s="12">
        <f>HYPERLINK("https://gesdoc.uis.edu.co/share/page/folder-details?nodeRef=workspace://SpacesStore/20bb50f0-75a1-4e14-9a57-445305d63363","0018_2025002289_8943")</f>
      </c>
      <c r="C38" s="12" t="s">
        <v>49</v>
      </c>
      <c r="D38" s="13" t="s">
        <v>64</v>
      </c>
      <c r="E38" s="12" t="s">
        <v>67</v>
      </c>
      <c r="F38" s="12" t="s">
        <v>68</v>
      </c>
      <c r="G38" s="12" t="s">
        <v>92</v>
      </c>
      <c r="H38" s="12" t="s">
        <v>92</v>
      </c>
      <c r="I38" s="12" t="s">
        <v>115</v>
      </c>
      <c r="J38" s="12" t="s">
        <v>120</v>
      </c>
    </row>
    <row customHeight="1" ht="33" r="39">
      <c r="B39" s="12">
        <f>HYPERLINK("https://gesdoc.uis.edu.co/share/page/folder-details?nodeRef=workspace://SpacesStore/822002e6-f451-4bad-a124-55062ab18c1d","0018_2025003614_8943")</f>
      </c>
      <c r="C39" s="12" t="s">
        <v>50</v>
      </c>
      <c r="D39" s="13" t="s">
        <v>64</v>
      </c>
      <c r="E39" s="12" t="s">
        <v>67</v>
      </c>
      <c r="F39" s="12" t="s">
        <v>68</v>
      </c>
      <c r="G39" s="12" t="s">
        <v>87</v>
      </c>
      <c r="H39" s="12" t="s">
        <v>87</v>
      </c>
      <c r="I39" s="12" t="s">
        <v>115</v>
      </c>
      <c r="J39" s="12" t="s">
        <v>120</v>
      </c>
    </row>
    <row customHeight="1" ht="33" r="40">
      <c r="B40" s="12">
        <f>HYPERLINK("https://gesdoc.uis.edu.co/share/page/folder-details?nodeRef=workspace://SpacesStore/53ea9a48-a2d1-46cd-8909-fa81a7766e4a","0018_2025002443_8943")</f>
      </c>
      <c r="C40" s="12" t="s">
        <v>51</v>
      </c>
      <c r="D40" s="13" t="s">
        <v>64</v>
      </c>
      <c r="E40" s="12" t="s">
        <v>67</v>
      </c>
      <c r="F40" s="12" t="s">
        <v>68</v>
      </c>
      <c r="G40" s="12" t="s">
        <v>92</v>
      </c>
      <c r="H40" s="12" t="s">
        <v>92</v>
      </c>
      <c r="I40" s="12" t="s">
        <v>115</v>
      </c>
      <c r="J40" s="12" t="s">
        <v>120</v>
      </c>
    </row>
    <row customHeight="1" ht="33" r="41">
      <c r="B41" s="12">
        <f>HYPERLINK("https://gesdoc.uis.edu.co/share/page/folder-details?nodeRef=workspace://SpacesStore/22f11d31-6aa2-4457-9a35-dbf6117bfc50","0018_2025002456_8943")</f>
      </c>
      <c r="C41" s="12" t="s">
        <v>52</v>
      </c>
      <c r="D41" s="13" t="s">
        <v>64</v>
      </c>
      <c r="E41" s="12" t="s">
        <v>67</v>
      </c>
      <c r="F41" s="12" t="s">
        <v>68</v>
      </c>
      <c r="G41" s="12" t="s">
        <v>92</v>
      </c>
      <c r="H41" s="12" t="s">
        <v>88</v>
      </c>
      <c r="I41" s="12" t="s">
        <v>115</v>
      </c>
      <c r="J41" s="12" t="s">
        <v>120</v>
      </c>
    </row>
    <row customHeight="1" ht="33" r="42">
      <c r="B42" s="12">
        <f>HYPERLINK("https://gesdoc.uis.edu.co/share/page/folder-details?nodeRef=workspace://SpacesStore/c0dc6cfe-013f-442a-ac2b-70ac9ff440dc","0020_2025001053_8943")</f>
      </c>
      <c r="C42" s="12" t="s">
        <v>53</v>
      </c>
      <c r="D42" s="13" t="s">
        <v>64</v>
      </c>
      <c r="E42" s="12" t="s">
        <v>67</v>
      </c>
      <c r="F42" s="12" t="s">
        <v>68</v>
      </c>
      <c r="G42" s="12" t="s">
        <v>94</v>
      </c>
      <c r="H42" s="12" t="s">
        <v>109</v>
      </c>
      <c r="I42" s="12" t="s">
        <v>115</v>
      </c>
      <c r="J42" s="12" t="s">
        <v>118</v>
      </c>
    </row>
    <row customHeight="1" ht="33" r="43">
      <c r="B43" s="12">
        <f>HYPERLINK("https://gesdoc.uis.edu.co/share/page/folder-details?nodeRef=workspace://SpacesStore/44d0677d-8a22-4b4b-99f9-2d91feb2e661","0020_2025000912_8943")</f>
      </c>
      <c r="C43" s="12" t="s">
        <v>54</v>
      </c>
      <c r="D43" s="13" t="s">
        <v>64</v>
      </c>
      <c r="E43" s="12" t="s">
        <v>67</v>
      </c>
      <c r="F43" s="12" t="s">
        <v>68</v>
      </c>
      <c r="G43" s="12" t="s">
        <v>94</v>
      </c>
      <c r="H43" s="12" t="s">
        <v>94</v>
      </c>
      <c r="I43" s="12" t="s">
        <v>115</v>
      </c>
      <c r="J43" s="12" t="s">
        <v>118</v>
      </c>
    </row>
    <row customHeight="1" ht="33" r="44">
      <c r="B44" s="12">
        <f>HYPERLINK("https://gesdoc.uis.edu.co/share/page/folder-details?nodeRef=workspace://SpacesStore/aeedbcff-683a-41a6-9361-0272f949181b","0020_2025000652_8943")</f>
      </c>
      <c r="C44" s="12" t="s">
        <v>55</v>
      </c>
      <c r="D44" s="13" t="s">
        <v>64</v>
      </c>
      <c r="E44" s="12" t="s">
        <v>67</v>
      </c>
      <c r="F44" s="12" t="s">
        <v>68</v>
      </c>
      <c r="G44" s="12" t="s">
        <v>95</v>
      </c>
      <c r="H44" s="12" t="s">
        <v>96</v>
      </c>
      <c r="I44" s="12" t="s">
        <v>115</v>
      </c>
      <c r="J44" s="12" t="s">
        <v>118</v>
      </c>
    </row>
    <row customHeight="1" ht="33" r="45">
      <c r="B45" s="12">
        <f>HYPERLINK("https://gesdoc.uis.edu.co/share/page/folder-details?nodeRef=workspace://SpacesStore/a719dbd3-7b67-42ea-b029-c0afac9fc360","0020_2025000706_8943")</f>
      </c>
      <c r="C45" s="12" t="s">
        <v>56</v>
      </c>
      <c r="D45" s="13" t="s">
        <v>64</v>
      </c>
      <c r="E45" s="12" t="s">
        <v>67</v>
      </c>
      <c r="F45" s="12" t="s">
        <v>68</v>
      </c>
      <c r="G45" s="12" t="s">
        <v>96</v>
      </c>
      <c r="H45" s="12" t="s">
        <v>110</v>
      </c>
      <c r="I45" s="12" t="s">
        <v>115</v>
      </c>
      <c r="J45" s="12" t="s">
        <v>118</v>
      </c>
    </row>
    <row customHeight="1" ht="33" r="46">
      <c r="B46" s="12">
        <f>HYPERLINK("https://gesdoc.uis.edu.co/share/page/folder-details?nodeRef=workspace://SpacesStore/7213991b-02e8-49c7-8126-6ac29b2a6810","0020_2025000747_8943")</f>
      </c>
      <c r="C46" s="12" t="s">
        <v>57</v>
      </c>
      <c r="D46" s="13" t="s">
        <v>64</v>
      </c>
      <c r="E46" s="12" t="s">
        <v>67</v>
      </c>
      <c r="F46" s="12" t="s">
        <v>68</v>
      </c>
      <c r="G46" s="12" t="s">
        <v>97</v>
      </c>
      <c r="H46" s="12" t="s">
        <v>111</v>
      </c>
      <c r="I46" s="12" t="s">
        <v>115</v>
      </c>
      <c r="J46" s="12" t="s">
        <v>118</v>
      </c>
    </row>
    <row customHeight="1" ht="33" r="47">
      <c r="B47" s="12">
        <f>HYPERLINK("https://gesdoc.uis.edu.co/share/page/folder-details?nodeRef=workspace://SpacesStore/9450866a-a9c2-4841-9ee3-ed3a3544a3e2","0020_2025000760_8943")</f>
      </c>
      <c r="C47" s="12" t="s">
        <v>58</v>
      </c>
      <c r="D47" s="13" t="s">
        <v>64</v>
      </c>
      <c r="E47" s="12" t="s">
        <v>67</v>
      </c>
      <c r="F47" s="12" t="s">
        <v>68</v>
      </c>
      <c r="G47" s="12" t="s">
        <v>98</v>
      </c>
      <c r="H47" s="12" t="s">
        <v>99</v>
      </c>
      <c r="I47" s="12" t="s">
        <v>115</v>
      </c>
      <c r="J47" s="12" t="s">
        <v>118</v>
      </c>
    </row>
    <row customHeight="1" ht="33" r="48">
      <c r="B48" s="12">
        <f>HYPERLINK("https://gesdoc.uis.edu.co/share/page/folder-details?nodeRef=workspace://SpacesStore/17fcd6b3-983d-4bc2-83a6-dba8bf910cf7","0020_2025000770_8943")</f>
      </c>
      <c r="C48" s="12" t="s">
        <v>59</v>
      </c>
      <c r="D48" s="13" t="s">
        <v>64</v>
      </c>
      <c r="E48" s="12" t="s">
        <v>67</v>
      </c>
      <c r="F48" s="12" t="s">
        <v>68</v>
      </c>
      <c r="G48" s="12" t="s">
        <v>99</v>
      </c>
      <c r="H48" s="12" t="s">
        <v>112</v>
      </c>
      <c r="I48" s="12" t="s">
        <v>115</v>
      </c>
      <c r="J48" s="12" t="s">
        <v>118</v>
      </c>
    </row>
    <row customHeight="1" ht="33" r="49">
      <c r="B49" s="12">
        <f>HYPERLINK("https://gesdoc.uis.edu.co/share/page/folder-details?nodeRef=workspace://SpacesStore/22576958-afd5-447d-b934-a78f187e128f","0018_2026002546_4682")</f>
      </c>
      <c r="C49" s="12" t="s">
        <v>60</v>
      </c>
      <c r="D49" s="13" t="s">
        <v>66</v>
      </c>
      <c r="E49" s="12" t="s">
        <v>67</v>
      </c>
      <c r="F49" s="12" t="s">
        <v>71</v>
      </c>
      <c r="G49" s="12" t="s">
        <v>100</v>
      </c>
      <c r="H49" s="12" t="s">
        <v>100</v>
      </c>
      <c r="I49" s="12">
        <v>4682</v>
      </c>
      <c r="J49" s="12" t="s">
        <v>123</v>
      </c>
    </row>
    <row customHeight="1" ht="33" r="50">
      <c r="B50" s="12">
        <f>HYPERLINK("https://gesdoc.uis.edu.co/share/page/folder-details?nodeRef=workspace://SpacesStore/c125dcd9-d347-4fe5-be59-cc1aaeabf217","0020_2026000391_4688")</f>
      </c>
      <c r="C50" s="12" t="s">
        <v>61</v>
      </c>
      <c r="D50" s="13" t="s">
        <v>66</v>
      </c>
      <c r="E50" s="12" t="s">
        <v>67</v>
      </c>
      <c r="F50" s="12" t="s">
        <v>71</v>
      </c>
      <c r="G50" s="12" t="s">
        <v>101</v>
      </c>
      <c r="H50" s="12" t="s">
        <v>101</v>
      </c>
      <c r="I50" s="12">
        <v>4688</v>
      </c>
      <c r="J50" s="12" t="s">
        <v>122</v>
      </c>
    </row>
    <row customHeight="1" ht="33" r="51">
      <c r="B51" s="12">
        <f>HYPERLINK("https://gesdoc.uis.edu.co/share/page/folder-details?nodeRef=workspace://SpacesStore/13bc6358-0813-4ba0-86dd-70fcb93b907e","0018_2026002550_8216")</f>
      </c>
      <c r="C51" s="12" t="s">
        <v>62</v>
      </c>
      <c r="D51" s="13" t="s">
        <v>65</v>
      </c>
      <c r="E51" s="12" t="s">
        <v>67</v>
      </c>
      <c r="F51" s="12" t="s">
        <v>69</v>
      </c>
      <c r="G51" s="12" t="s">
        <v>102</v>
      </c>
      <c r="H51" s="12" t="s">
        <v>113</v>
      </c>
      <c r="I51" s="12" t="s">
        <v>117</v>
      </c>
      <c r="J51" s="12" t="s">
        <v>124</v>
      </c>
    </row>
    <row customHeight="1" ht="33" r="52">
      <c r="B52" s="12">
        <f>HYPERLINK("https://gesdoc.uis.edu.co/share/page/folder-details?nodeRef=workspace://SpacesStore/068ba241-541f-4ff2-b7b3-f34c7233f483","0018_2025002288_8943")</f>
      </c>
      <c r="C52" s="12" t="s">
        <v>63</v>
      </c>
      <c r="D52" s="13" t="s">
        <v>64</v>
      </c>
      <c r="E52" s="12" t="s">
        <v>67</v>
      </c>
      <c r="F52" s="12" t="s">
        <v>68</v>
      </c>
      <c r="G52" s="12" t="s">
        <v>103</v>
      </c>
      <c r="H52" s="12" t="s">
        <v>114</v>
      </c>
      <c r="I52" s="12" t="s">
        <v>115</v>
      </c>
      <c r="J52" s="12" t="s">
        <v>120</v>
      </c>
    </row>
    <row customHeight="1" ht="12.4" r="53">
      <c r="B53" s="10"/>
      <c r="C53" s="10"/>
      <c r="D53" s="10"/>
      <c r="E53" s="10"/>
      <c r="F53" s="10"/>
      <c r="G53" s="10"/>
      <c r="H53" s="10"/>
      <c r="I53" s="10"/>
      <c r="J53" s="10"/>
    </row>
    <row customHeight="1" ht="13.15" r="54">
      <c r="B54" s="10"/>
      <c r="C54" s="10"/>
      <c r="E54" s="10"/>
      <c r="F54" s="10"/>
      <c r="G54" s="10"/>
      <c r="H54" s="10"/>
      <c r="I54" s="10"/>
      <c r="J54" s="10"/>
    </row>
    <row customHeight="1" ht="13.5" r="55">
      <c r="B55" s="10"/>
      <c r="J55" s="10"/>
    </row>
    <row ht="12.75" r="56">
      <c r="B56" s="10"/>
      <c r="J56" s="10"/>
    </row>
    <row ht="12.75" r="57"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B64" s="10"/>
      <c r="C64" s="10"/>
      <c r="D64" s="10"/>
      <c r="E64" s="10"/>
      <c r="F64" s="10"/>
      <c r="G64" s="10"/>
      <c r="H64" s="10"/>
      <c r="I64" s="10"/>
      <c r="J64" s="10"/>
    </row>
    <row customHeight="1" ht="12.4" r="65"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B74" s="10"/>
      <c r="C74" s="10"/>
      <c r="D74" s="10"/>
      <c r="E74" s="10"/>
      <c r="F74" s="10"/>
      <c r="G74" s="10"/>
      <c r="H74" s="10"/>
      <c r="I74" s="10"/>
      <c r="J74" s="10"/>
    </row>
    <row customHeight="1" ht="12.4" r="75">
      <c r="B75" s="10"/>
      <c r="C75" s="10"/>
      <c r="D75" s="10"/>
      <c r="E75" s="10"/>
      <c r="F75" s="10"/>
      <c r="G75" s="10"/>
      <c r="H75" s="10"/>
      <c r="I75" s="10"/>
      <c r="J75" s="10"/>
    </row>
    <row customHeight="1" ht="12.4" r="76"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B77" s="10"/>
      <c r="C77" s="10"/>
      <c r="D77" s="10"/>
      <c r="E77" s="10"/>
      <c r="F77" s="10"/>
      <c r="G77" s="10"/>
      <c r="H77" s="10"/>
      <c r="I77" s="10"/>
      <c r="J77" s="10"/>
    </row>
    <row customHeight="1" ht="12.4" r="78">
      <c r="B78" s="10"/>
      <c r="C78" s="10"/>
      <c r="D78" s="10"/>
      <c r="E78" s="10"/>
      <c r="F78" s="10"/>
      <c r="G78" s="10"/>
      <c r="H78" s="10"/>
      <c r="I78" s="10"/>
      <c r="J78" s="10"/>
    </row>
    <row customHeight="1" ht="12.4" r="79">
      <c r="B79" s="10"/>
      <c r="C79" s="10"/>
      <c r="D79" s="10"/>
      <c r="E79" s="10"/>
      <c r="F79" s="10"/>
      <c r="G79" s="10"/>
      <c r="H79" s="10"/>
      <c r="I79" s="10"/>
      <c r="J79" s="10"/>
    </row>
    <row customHeight="1" ht="13.1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customHeight="1" ht="12.4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