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<sst xmlns="http://schemas.openxmlformats.org/spreadsheetml/2006/main" count="113" uniqueCount="113">
  <si>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</si>
  <si>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</si>
  <si>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</si>
  <si>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</si>
  <si>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</si>
  <si>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</si>
  <si>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</si>
  <si>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</si>
  <si>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</si>
  <si>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</si>
  <si>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</si>
  <si>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</si>
  <si>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</si>
  <si>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</si>
  <si>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</si>
  <si>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</si>
  <si>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</si>
  <si>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</si>
  <si>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</si>
  <si>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</si>
  <si>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</si>
  <si>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</si>
  <si>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02/09/2026 al ${table:fechaHasta}</t>
  </si>
  <si>
    <t>Fecha del reporte: 02/09/2026 al 02/09/2026</t>
  </si>
  <si>
    <t/>
  </si>
  <si>
    <t>234-2026012232</t>
  </si>
  <si>
    <t>20-2026000381</t>
  </si>
  <si>
    <t>18-2026002487</t>
  </si>
  <si>
    <t>234-2026012244</t>
  </si>
  <si>
    <t>18-2026002535</t>
  </si>
  <si>
    <t>18-2026002528</t>
  </si>
  <si>
    <t>20-2026000385</t>
  </si>
  <si>
    <t>234-2026012240</t>
  </si>
  <si>
    <t>20-2026000380</t>
  </si>
  <si>
    <t>1112_UISALUD</t>
  </si>
  <si>
    <t>2240_SEDE_BARRANCABERMEJA</t>
  </si>
  <si>
    <t>1114_DIR_COMUNICACIONES</t>
  </si>
  <si>
    <t>6220_ESC_ARTES</t>
  </si>
  <si>
    <t>6540_ESC_ING_CIVIL</t>
  </si>
  <si>
    <t>6830_ESC_ENFERMERIA</t>
  </si>
  <si>
    <t>3190_DTIC</t>
  </si>
  <si>
    <t>6212_INSTITUTO_LENGUAS</t>
  </si>
  <si>
    <t>C09_CONTRATOS</t>
  </si>
  <si>
    <t>C09.23_CONTR_PREST_SERVI_RED_SALUD</t>
  </si>
  <si>
    <t>C09.11_ORDEN_PRESTACION_SERVICIOS</t>
  </si>
  <si>
    <t>C09.10_ORDEN_PAGO</t>
  </si>
  <si>
    <t>C09.08_ORDEN_COMPRA</t>
  </si>
  <si>
    <t>02/09/2026 07:17</t>
  </si>
  <si>
    <t>02/09/2026 07:27</t>
  </si>
  <si>
    <t>02/09/2026 10:36</t>
  </si>
  <si>
    <t>02/09/2026 10:37</t>
  </si>
  <si>
    <t>02/09/2026 10:34</t>
  </si>
  <si>
    <t>02/09/2026 10:27</t>
  </si>
  <si>
    <t>02/09/2026 10:38</t>
  </si>
  <si>
    <t>02/09/2026 07:19</t>
  </si>
  <si>
    <t>02/09/2026 07:20</t>
  </si>
  <si>
    <t>02/09/2026 08:34</t>
  </si>
  <si>
    <t>02/09/2026 08:44</t>
  </si>
  <si>
    <t>02/09/2026 08:43</t>
  </si>
  <si>
    <t>02/09/2026 08:42</t>
  </si>
  <si>
    <t>02/09/2026 10:47</t>
  </si>
  <si>
    <t>02/09/2026 10:48</t>
  </si>
  <si>
    <t>02/09/2026 10:44</t>
  </si>
  <si>
    <t>02/09/2026 10:54</t>
  </si>
  <si>
    <t>02/09/2026 10:55</t>
  </si>
  <si>
    <t>02/09/2026 10:56</t>
  </si>
  <si>
    <t>02/09/2026 10:42</t>
  </si>
  <si>
    <t>02/09/2026 10:45</t>
  </si>
  <si>
    <t>02/09/2026 10:41</t>
  </si>
  <si>
    <t>02/09/2026 10:52</t>
  </si>
  <si>
    <t>02/09/2026 10:53</t>
  </si>
  <si>
    <t>02/09/2026 10:51</t>
  </si>
  <si>
    <t>02/09/2026 11:30</t>
  </si>
  <si>
    <t>02/09/2026 11:28</t>
  </si>
  <si>
    <t>02/09/2026 11:29</t>
  </si>
  <si>
    <t>02/09/2026 11:31</t>
  </si>
  <si>
    <t>02/09/2026 11:27</t>
  </si>
  <si>
    <t>02/09/2026 11:32</t>
  </si>
  <si>
    <t>02/09/2026 11:33</t>
  </si>
  <si>
    <t>02/09/2026 11:42</t>
  </si>
  <si>
    <t>02/09/2026 11:40</t>
  </si>
  <si>
    <t>02/09/2026 11:43</t>
  </si>
  <si>
    <t>02/09/2026 11:25</t>
  </si>
  <si>
    <t>02/09/2026 11:36</t>
  </si>
  <si>
    <t>02/09/2026 11:35</t>
  </si>
  <si>
    <t>02/09/2026 11:38</t>
  </si>
  <si>
    <t>02/09/2026 11:37</t>
  </si>
  <si>
    <t>02/09/2026 11:22</t>
  </si>
  <si>
    <t>02/09/2026 11:16</t>
  </si>
  <si>
    <t>02/09/2026 11:18</t>
  </si>
  <si>
    <t>02/09/2026 11:17</t>
  </si>
  <si>
    <t>02/09/2026 11:20</t>
  </si>
  <si>
    <t>02/09/2026 11:21</t>
  </si>
  <si>
    <t>02/09/2026 15:09</t>
  </si>
  <si>
    <t>02/09/2026 14:31</t>
  </si>
  <si>
    <t>02/09/2026 14:44</t>
  </si>
  <si>
    <t>02/09/2026 16:40</t>
  </si>
  <si>
    <t>02/09/2026 16:15</t>
  </si>
  <si>
    <t>02/09/2026 15:26</t>
  </si>
  <si>
    <t>02/09/2026 15:58</t>
  </si>
  <si>
    <t>02/09/2026 16:26</t>
  </si>
  <si>
    <t>02/09/2026 14:54</t>
  </si>
  <si>
    <t>02/09/2026 07:18</t>
  </si>
  <si>
    <t>02/09/2026 10:28</t>
  </si>
  <si>
    <t>02/09/2026 10:43</t>
  </si>
  <si>
    <t>02/09/2026 10:46</t>
  </si>
  <si>
    <t>02/09/2026 11:41</t>
  </si>
  <si>
    <t>02/09/2026 11:23</t>
  </si>
  <si>
    <t>02/09/2026 14:32</t>
  </si>
  <si>
    <t>02/09/2026 14:45</t>
  </si>
  <si>
    <t>02/09/2026 15:56</t>
  </si>
  <si>
    <t>03/09/2026 08:36</t>
  </si>
  <si>
    <t>02/09/2026 17:00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</si>
</sst>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HYPERLINK("https://gesdoc.uis.edu.co/share/page/folder-details?nodeRef=workspace://SpacesStore/dd7fa64f-3c8f-4351-8f1d-8851fd9af419","2025000166_9701")</f>
      </c>
      <c r="C13" s="12" t="s">
        <v>24</v>
      </c>
      <c r="D13" s="13" t="s">
        <v>34</v>
      </c>
      <c r="E13" s="12" t="s">
        <v>42</v>
      </c>
      <c r="F13" s="12" t="s">
        <v>43</v>
      </c>
      <c r="G13" s="12" t="s">
        <v>47</v>
      </c>
      <c r="H13" s="12" t="s">
        <v>102</v>
      </c>
      <c r="I13" s="12" t="s">
        <v>24</v>
      </c>
      <c r="J13" s="12" t="s">
        <v>24</v>
      </c>
    </row>
    <row customHeight="1" ht="33" r="14">
      <c r="B14" s="12">
        <f>HYPERLINK("https://gesdoc.uis.edu.co/share/page/folder-details?nodeRef=workspace://SpacesStore/ed806824-b1d2-494b-89da-0c8d3d7f970d","2025000199_9701")</f>
      </c>
      <c r="C14" s="12" t="s">
        <v>24</v>
      </c>
      <c r="D14" s="13" t="s">
        <v>34</v>
      </c>
      <c r="E14" s="12" t="s">
        <v>42</v>
      </c>
      <c r="F14" s="12" t="s">
        <v>43</v>
      </c>
      <c r="G14" s="12" t="s">
        <v>48</v>
      </c>
      <c r="H14" s="12" t="s">
        <v>48</v>
      </c>
      <c r="I14" s="12" t="s">
        <v>24</v>
      </c>
      <c r="J14" s="12" t="s">
        <v>24</v>
      </c>
    </row>
    <row customHeight="1" ht="33" r="15">
      <c r="B15" s="12">
        <f>HYPERLINK("https://gesdoc.uis.edu.co/share/page/folder-details?nodeRef=workspace://SpacesStore/97c0a1c5-7446-42c9-a884-1b4ce485a77f","2025000309_9701")</f>
      </c>
      <c r="C15" s="12" t="s">
        <v>24</v>
      </c>
      <c r="D15" s="13" t="s">
        <v>34</v>
      </c>
      <c r="E15" s="12" t="s">
        <v>42</v>
      </c>
      <c r="F15" s="12" t="s">
        <v>43</v>
      </c>
      <c r="G15" s="12" t="s">
        <v>49</v>
      </c>
      <c r="H15" s="12" t="s">
        <v>49</v>
      </c>
      <c r="I15" s="12" t="s">
        <v>24</v>
      </c>
      <c r="J15" s="12" t="s">
        <v>24</v>
      </c>
    </row>
    <row customHeight="1" ht="33" r="16">
      <c r="B16" s="12">
        <f>HYPERLINK("https://gesdoc.uis.edu.co/share/page/folder-details?nodeRef=workspace://SpacesStore/a33c2496-0768-44b0-8c2f-709512983820","2025000310_9701")</f>
      </c>
      <c r="C16" s="12" t="s">
        <v>24</v>
      </c>
      <c r="D16" s="13" t="s">
        <v>34</v>
      </c>
      <c r="E16" s="12" t="s">
        <v>42</v>
      </c>
      <c r="F16" s="12" t="s">
        <v>43</v>
      </c>
      <c r="G16" s="12" t="s">
        <v>49</v>
      </c>
      <c r="H16" s="12" t="s">
        <v>50</v>
      </c>
      <c r="I16" s="12" t="s">
        <v>24</v>
      </c>
      <c r="J16" s="12" t="s">
        <v>24</v>
      </c>
    </row>
    <row customHeight="1" ht="33" r="17">
      <c r="B17" s="12">
        <f>HYPERLINK("https://gesdoc.uis.edu.co/share/page/folder-details?nodeRef=workspace://SpacesStore/f909057a-aef0-40bf-9177-ff590c0a0be2","2025000321_9701")</f>
      </c>
      <c r="C17" s="12" t="s">
        <v>24</v>
      </c>
      <c r="D17" s="13" t="s">
        <v>34</v>
      </c>
      <c r="E17" s="12" t="s">
        <v>42</v>
      </c>
      <c r="F17" s="12" t="s">
        <v>43</v>
      </c>
      <c r="G17" s="12" t="s">
        <v>50</v>
      </c>
      <c r="H17" s="12" t="s">
        <v>50</v>
      </c>
      <c r="I17" s="12" t="s">
        <v>24</v>
      </c>
      <c r="J17" s="12" t="s">
        <v>24</v>
      </c>
    </row>
    <row customHeight="1" ht="33" r="18">
      <c r="B18" s="12">
        <f>HYPERLINK("https://gesdoc.uis.edu.co/share/page/folder-details?nodeRef=workspace://SpacesStore/87d15ae6-16c7-4b2f-92c8-addaa77cdff3","2025000305_9701_9703")</f>
      </c>
      <c r="C18" s="12" t="s">
        <v>24</v>
      </c>
      <c r="D18" s="13" t="s">
        <v>34</v>
      </c>
      <c r="E18" s="12" t="s">
        <v>42</v>
      </c>
      <c r="F18" s="12" t="s">
        <v>43</v>
      </c>
      <c r="G18" s="12" t="s">
        <v>51</v>
      </c>
      <c r="H18" s="12" t="s">
        <v>49</v>
      </c>
      <c r="I18" s="12" t="s">
        <v>24</v>
      </c>
      <c r="J18" s="12" t="s">
        <v>24</v>
      </c>
    </row>
    <row customHeight="1" ht="33" r="19">
      <c r="B19" s="12">
        <f>HYPERLINK("https://gesdoc.uis.edu.co/share/page/folder-details?nodeRef=workspace://SpacesStore/5d028814-3d9e-4e42-9ecf-934707f64984","2025000300_9701")</f>
      </c>
      <c r="C19" s="12" t="s">
        <v>24</v>
      </c>
      <c r="D19" s="13" t="s">
        <v>34</v>
      </c>
      <c r="E19" s="12" t="s">
        <v>42</v>
      </c>
      <c r="F19" s="12" t="s">
        <v>43</v>
      </c>
      <c r="G19" s="12" t="s">
        <v>52</v>
      </c>
      <c r="H19" s="12" t="s">
        <v>103</v>
      </c>
      <c r="I19" s="12" t="s">
        <v>24</v>
      </c>
      <c r="J19" s="12" t="s">
        <v>24</v>
      </c>
    </row>
    <row customHeight="1" ht="33" r="20">
      <c r="B20" s="12">
        <f>HYPERLINK("https://gesdoc.uis.edu.co/share/page/folder-details?nodeRef=workspace://SpacesStore/e42507ec-b17e-4361-93ac-3f32f1423ef6","2025000325_9701")</f>
      </c>
      <c r="C20" s="12" t="s">
        <v>24</v>
      </c>
      <c r="D20" s="13" t="s">
        <v>34</v>
      </c>
      <c r="E20" s="12" t="s">
        <v>42</v>
      </c>
      <c r="F20" s="12" t="s">
        <v>43</v>
      </c>
      <c r="G20" s="12" t="s">
        <v>53</v>
      </c>
      <c r="H20" s="12" t="s">
        <v>53</v>
      </c>
      <c r="I20" s="12" t="s">
        <v>24</v>
      </c>
      <c r="J20" s="12" t="s">
        <v>24</v>
      </c>
    </row>
    <row customHeight="1" ht="33" r="21">
      <c r="B21" s="12">
        <f>HYPERLINK("https://gesdoc.uis.edu.co/share/page/folder-details?nodeRef=workspace://SpacesStore/1425d163-9cdf-4756-bf74-46fcd3ad9f62","2025000190_9701")</f>
      </c>
      <c r="C21" s="12" t="s">
        <v>24</v>
      </c>
      <c r="D21" s="13" t="s">
        <v>34</v>
      </c>
      <c r="E21" s="12" t="s">
        <v>42</v>
      </c>
      <c r="F21" s="12" t="s">
        <v>43</v>
      </c>
      <c r="G21" s="12" t="s">
        <v>54</v>
      </c>
      <c r="H21" s="12" t="s">
        <v>55</v>
      </c>
      <c r="I21" s="12" t="s">
        <v>24</v>
      </c>
      <c r="J21" s="12" t="s">
        <v>24</v>
      </c>
    </row>
    <row customHeight="1" ht="33" r="22">
      <c r="B22" s="12">
        <f>HYPERLINK("https://gesdoc.uis.edu.co/share/page/folder-details?nodeRef=workspace://SpacesStore/9cfd2c36-8e10-42ad-bf85-07c46bd23c21","2025000193_9701")</f>
      </c>
      <c r="C22" s="12" t="s">
        <v>24</v>
      </c>
      <c r="D22" s="13" t="s">
        <v>34</v>
      </c>
      <c r="E22" s="12" t="s">
        <v>42</v>
      </c>
      <c r="F22" s="12" t="s">
        <v>43</v>
      </c>
      <c r="G22" s="12" t="s">
        <v>55</v>
      </c>
      <c r="H22" s="12" t="s">
        <v>55</v>
      </c>
      <c r="I22" s="12" t="s">
        <v>24</v>
      </c>
      <c r="J22" s="12" t="s">
        <v>24</v>
      </c>
    </row>
    <row customHeight="1" ht="33" r="23">
      <c r="B23" s="12">
        <f>HYPERLINK("https://gesdoc.uis.edu.co/share/page/folder-details?nodeRef=workspace://SpacesStore/acfc9b84-f8d4-47b0-89f7-0ad9500d6376","2025000240_9701")</f>
      </c>
      <c r="C23" s="12" t="s">
        <v>24</v>
      </c>
      <c r="D23" s="13" t="s">
        <v>34</v>
      </c>
      <c r="E23" s="12" t="s">
        <v>42</v>
      </c>
      <c r="F23" s="12" t="s">
        <v>43</v>
      </c>
      <c r="G23" s="12" t="s">
        <v>56</v>
      </c>
      <c r="H23" s="12" t="s">
        <v>56</v>
      </c>
      <c r="I23" s="12" t="s">
        <v>24</v>
      </c>
      <c r="J23" s="12" t="s">
        <v>24</v>
      </c>
    </row>
    <row customHeight="1" ht="33" r="24">
      <c r="B24" s="12">
        <f>HYPERLINK("https://gesdoc.uis.edu.co/share/page/folder-details?nodeRef=workspace://SpacesStore/953c5849-5bde-4487-99f2-6081c6f3dae1","2025000293_9701")</f>
      </c>
      <c r="C24" s="12" t="s">
        <v>24</v>
      </c>
      <c r="D24" s="13" t="s">
        <v>34</v>
      </c>
      <c r="E24" s="12" t="s">
        <v>42</v>
      </c>
      <c r="F24" s="12" t="s">
        <v>43</v>
      </c>
      <c r="G24" s="12" t="s">
        <v>57</v>
      </c>
      <c r="H24" s="12" t="s">
        <v>57</v>
      </c>
      <c r="I24" s="12" t="s">
        <v>24</v>
      </c>
      <c r="J24" s="12" t="s">
        <v>24</v>
      </c>
    </row>
    <row customHeight="1" ht="33" r="25">
      <c r="B25" s="12">
        <f>HYPERLINK("https://gesdoc.uis.edu.co/share/page/folder-details?nodeRef=workspace://SpacesStore/1b783d57-13c3-4d2f-96bd-d47e04aeede6","2025000289_9701")</f>
      </c>
      <c r="C25" s="12" t="s">
        <v>24</v>
      </c>
      <c r="D25" s="13" t="s">
        <v>34</v>
      </c>
      <c r="E25" s="12" t="s">
        <v>42</v>
      </c>
      <c r="F25" s="12" t="s">
        <v>43</v>
      </c>
      <c r="G25" s="12" t="s">
        <v>57</v>
      </c>
      <c r="H25" s="12" t="s">
        <v>57</v>
      </c>
      <c r="I25" s="12" t="s">
        <v>24</v>
      </c>
      <c r="J25" s="12" t="s">
        <v>24</v>
      </c>
    </row>
    <row customHeight="1" ht="33" r="26">
      <c r="B26" s="12">
        <f>HYPERLINK("https://gesdoc.uis.edu.co/share/page/folder-details?nodeRef=workspace://SpacesStore/116fe9e9-79c2-45fc-8bd3-2f51a760e446","2025000181_9701")</f>
      </c>
      <c r="C26" s="12" t="s">
        <v>24</v>
      </c>
      <c r="D26" s="13" t="s">
        <v>34</v>
      </c>
      <c r="E26" s="12" t="s">
        <v>42</v>
      </c>
      <c r="F26" s="12" t="s">
        <v>43</v>
      </c>
      <c r="G26" s="12" t="s">
        <v>54</v>
      </c>
      <c r="H26" s="12" t="s">
        <v>54</v>
      </c>
      <c r="I26" s="12" t="s">
        <v>24</v>
      </c>
      <c r="J26" s="12" t="s">
        <v>24</v>
      </c>
    </row>
    <row customHeight="1" ht="33" r="27">
      <c r="B27" s="12">
        <f>HYPERLINK("https://gesdoc.uis.edu.co/share/page/folder-details?nodeRef=workspace://SpacesStore/3e865cb6-0fac-4e52-a319-87e8760ad867","2025000180_9701")</f>
      </c>
      <c r="C27" s="12" t="s">
        <v>24</v>
      </c>
      <c r="D27" s="13" t="s">
        <v>34</v>
      </c>
      <c r="E27" s="12" t="s">
        <v>42</v>
      </c>
      <c r="F27" s="12" t="s">
        <v>43</v>
      </c>
      <c r="G27" s="12" t="s">
        <v>54</v>
      </c>
      <c r="H27" s="12" t="s">
        <v>54</v>
      </c>
      <c r="I27" s="12" t="s">
        <v>24</v>
      </c>
      <c r="J27" s="12" t="s">
        <v>24</v>
      </c>
    </row>
    <row customHeight="1" ht="33" r="28">
      <c r="B28" s="12">
        <f>HYPERLINK("https://gesdoc.uis.edu.co/share/page/folder-details?nodeRef=workspace://SpacesStore/be48d37f-e537-4891-a0f8-ab41402e632d","2025000283_9701")</f>
      </c>
      <c r="C28" s="12" t="s">
        <v>24</v>
      </c>
      <c r="D28" s="13" t="s">
        <v>34</v>
      </c>
      <c r="E28" s="12" t="s">
        <v>42</v>
      </c>
      <c r="F28" s="12" t="s">
        <v>43</v>
      </c>
      <c r="G28" s="12" t="s">
        <v>58</v>
      </c>
      <c r="H28" s="12" t="s">
        <v>58</v>
      </c>
      <c r="I28" s="12" t="s">
        <v>24</v>
      </c>
      <c r="J28" s="12" t="s">
        <v>24</v>
      </c>
    </row>
    <row customHeight="1" ht="33" r="29">
      <c r="B29" s="12">
        <f>HYPERLINK("https://gesdoc.uis.edu.co/share/page/folder-details?nodeRef=workspace://SpacesStore/bb0f3e81-99fd-410e-9553-89e6956071dd","2025000287_9701")</f>
      </c>
      <c r="C29" s="12" t="s">
        <v>24</v>
      </c>
      <c r="D29" s="13" t="s">
        <v>34</v>
      </c>
      <c r="E29" s="12" t="s">
        <v>42</v>
      </c>
      <c r="F29" s="12" t="s">
        <v>43</v>
      </c>
      <c r="G29" s="12" t="s">
        <v>58</v>
      </c>
      <c r="H29" s="12" t="s">
        <v>58</v>
      </c>
      <c r="I29" s="12" t="s">
        <v>24</v>
      </c>
      <c r="J29" s="12" t="s">
        <v>24</v>
      </c>
    </row>
    <row customHeight="1" ht="33" r="30">
      <c r="B30" s="12">
        <f>HYPERLINK("https://gesdoc.uis.edu.co/share/page/folder-details?nodeRef=workspace://SpacesStore/35bbd3d3-0237-4ffa-80c8-7172f2c70268","2025000281_9701")</f>
      </c>
      <c r="C30" s="12" t="s">
        <v>24</v>
      </c>
      <c r="D30" s="13" t="s">
        <v>34</v>
      </c>
      <c r="E30" s="12" t="s">
        <v>42</v>
      </c>
      <c r="F30" s="12" t="s">
        <v>43</v>
      </c>
      <c r="G30" s="12" t="s">
        <v>59</v>
      </c>
      <c r="H30" s="12" t="s">
        <v>58</v>
      </c>
      <c r="I30" s="12" t="s">
        <v>24</v>
      </c>
      <c r="J30" s="12" t="s">
        <v>24</v>
      </c>
    </row>
    <row customHeight="1" ht="33" r="31">
      <c r="B31" s="12">
        <f>HYPERLINK("https://gesdoc.uis.edu.co/share/page/folder-details?nodeRef=workspace://SpacesStore/473a311e-da7a-4ae1-aea8-47ae19766ae9","2025000362_9701")</f>
      </c>
      <c r="C31" s="12" t="s">
        <v>24</v>
      </c>
      <c r="D31" s="13" t="s">
        <v>34</v>
      </c>
      <c r="E31" s="12" t="s">
        <v>42</v>
      </c>
      <c r="F31" s="12" t="s">
        <v>43</v>
      </c>
      <c r="G31" s="12" t="s">
        <v>60</v>
      </c>
      <c r="H31" s="12" t="s">
        <v>61</v>
      </c>
      <c r="I31" s="12" t="s">
        <v>24</v>
      </c>
      <c r="J31" s="12" t="s">
        <v>24</v>
      </c>
    </row>
    <row customHeight="1" ht="33" r="32">
      <c r="B32" s="12">
        <f>HYPERLINK("https://gesdoc.uis.edu.co/share/page/folder-details?nodeRef=workspace://SpacesStore/87d65da4-a9e0-46db-9f14-793a8221d208","2025000352_9701")</f>
      </c>
      <c r="C32" s="12" t="s">
        <v>24</v>
      </c>
      <c r="D32" s="13" t="s">
        <v>34</v>
      </c>
      <c r="E32" s="12" t="s">
        <v>42</v>
      </c>
      <c r="F32" s="12" t="s">
        <v>43</v>
      </c>
      <c r="G32" s="12" t="s">
        <v>60</v>
      </c>
      <c r="H32" s="12" t="s">
        <v>60</v>
      </c>
      <c r="I32" s="12" t="s">
        <v>24</v>
      </c>
      <c r="J32" s="12" t="s">
        <v>24</v>
      </c>
    </row>
    <row customHeight="1" ht="33" r="33">
      <c r="B33" s="12">
        <f>HYPERLINK("https://gesdoc.uis.edu.co/share/page/folder-details?nodeRef=workspace://SpacesStore/d562a9c0-e380-477d-a573-3dcb82d38559","2025000367_9703")</f>
      </c>
      <c r="C33" s="12" t="s">
        <v>24</v>
      </c>
      <c r="D33" s="13" t="s">
        <v>34</v>
      </c>
      <c r="E33" s="12" t="s">
        <v>42</v>
      </c>
      <c r="F33" s="12" t="s">
        <v>43</v>
      </c>
      <c r="G33" s="12" t="s">
        <v>61</v>
      </c>
      <c r="H33" s="12" t="s">
        <v>61</v>
      </c>
      <c r="I33" s="12" t="s">
        <v>24</v>
      </c>
      <c r="J33" s="12" t="s">
        <v>24</v>
      </c>
    </row>
    <row customHeight="1" ht="33" r="34">
      <c r="B34" s="12">
        <f>HYPERLINK("https://gesdoc.uis.edu.co/share/page/folder-details?nodeRef=workspace://SpacesStore/b6f4f3f7-5794-4e49-a48b-84ccbb551ce5","2025000335_9701")</f>
      </c>
      <c r="C34" s="12" t="s">
        <v>24</v>
      </c>
      <c r="D34" s="13" t="s">
        <v>34</v>
      </c>
      <c r="E34" s="12" t="s">
        <v>42</v>
      </c>
      <c r="F34" s="12" t="s">
        <v>43</v>
      </c>
      <c r="G34" s="12" t="s">
        <v>62</v>
      </c>
      <c r="H34" s="12" t="s">
        <v>62</v>
      </c>
      <c r="I34" s="12" t="s">
        <v>24</v>
      </c>
      <c r="J34" s="12" t="s">
        <v>24</v>
      </c>
    </row>
    <row customHeight="1" ht="33" r="35">
      <c r="B35" s="12">
        <f>HYPERLINK("https://gesdoc.uis.edu.co/share/page/folder-details?nodeRef=workspace://SpacesStore/7f041fc8-c898-4807-a398-6959d5cdf504","2025000337_9701")</f>
      </c>
      <c r="C35" s="12" t="s">
        <v>24</v>
      </c>
      <c r="D35" s="13" t="s">
        <v>34</v>
      </c>
      <c r="E35" s="12" t="s">
        <v>42</v>
      </c>
      <c r="F35" s="12" t="s">
        <v>43</v>
      </c>
      <c r="G35" s="12" t="s">
        <v>62</v>
      </c>
      <c r="H35" s="12" t="s">
        <v>62</v>
      </c>
      <c r="I35" s="12" t="s">
        <v>24</v>
      </c>
      <c r="J35" s="12" t="s">
        <v>24</v>
      </c>
    </row>
    <row customHeight="1" ht="33" r="36">
      <c r="B36" s="12">
        <f>HYPERLINK("https://gesdoc.uis.edu.co/share/page/folder-details?nodeRef=workspace://SpacesStore/cdac5a35-50c3-4403-bd46-add44630129e","2025000398_9701")</f>
      </c>
      <c r="C36" s="12" t="s">
        <v>24</v>
      </c>
      <c r="D36" s="13" t="s">
        <v>34</v>
      </c>
      <c r="E36" s="12" t="s">
        <v>42</v>
      </c>
      <c r="F36" s="12" t="s">
        <v>43</v>
      </c>
      <c r="G36" s="12" t="s">
        <v>63</v>
      </c>
      <c r="H36" s="12" t="s">
        <v>64</v>
      </c>
      <c r="I36" s="12" t="s">
        <v>24</v>
      </c>
      <c r="J36" s="12" t="s">
        <v>24</v>
      </c>
    </row>
    <row customHeight="1" ht="33" r="37">
      <c r="B37" s="12">
        <f>HYPERLINK("https://gesdoc.uis.edu.co/share/page/folder-details?nodeRef=workspace://SpacesStore/a99e71b5-eb1f-47b5-955a-a547f61fd078","2025000403_9701")</f>
      </c>
      <c r="C37" s="12" t="s">
        <v>24</v>
      </c>
      <c r="D37" s="13" t="s">
        <v>34</v>
      </c>
      <c r="E37" s="12" t="s">
        <v>42</v>
      </c>
      <c r="F37" s="12" t="s">
        <v>43</v>
      </c>
      <c r="G37" s="12" t="s">
        <v>64</v>
      </c>
      <c r="H37" s="12" t="s">
        <v>65</v>
      </c>
      <c r="I37" s="12" t="s">
        <v>24</v>
      </c>
      <c r="J37" s="12" t="s">
        <v>24</v>
      </c>
    </row>
    <row customHeight="1" ht="33" r="38">
      <c r="B38" s="12">
        <f>HYPERLINK("https://gesdoc.uis.edu.co/share/page/folder-details?nodeRef=workspace://SpacesStore/0425a3ff-1c40-4a2f-80cf-0f2068e5bab9","2025000401_9701")</f>
      </c>
      <c r="C38" s="12" t="s">
        <v>24</v>
      </c>
      <c r="D38" s="13" t="s">
        <v>34</v>
      </c>
      <c r="E38" s="12" t="s">
        <v>42</v>
      </c>
      <c r="F38" s="12" t="s">
        <v>43</v>
      </c>
      <c r="G38" s="12" t="s">
        <v>64</v>
      </c>
      <c r="H38" s="12" t="s">
        <v>64</v>
      </c>
      <c r="I38" s="12" t="s">
        <v>24</v>
      </c>
      <c r="J38" s="12" t="s">
        <v>24</v>
      </c>
    </row>
    <row customHeight="1" ht="33" r="39">
      <c r="B39" s="12">
        <f>HYPERLINK("https://gesdoc.uis.edu.co/share/page/folder-details?nodeRef=workspace://SpacesStore/9adf2805-c2a3-4061-9f83-61d1706827ee","2025000400_9701")</f>
      </c>
      <c r="C39" s="12" t="s">
        <v>24</v>
      </c>
      <c r="D39" s="13" t="s">
        <v>34</v>
      </c>
      <c r="E39" s="12" t="s">
        <v>42</v>
      </c>
      <c r="F39" s="12" t="s">
        <v>43</v>
      </c>
      <c r="G39" s="12" t="s">
        <v>64</v>
      </c>
      <c r="H39" s="12" t="s">
        <v>64</v>
      </c>
      <c r="I39" s="12" t="s">
        <v>24</v>
      </c>
      <c r="J39" s="12" t="s">
        <v>24</v>
      </c>
    </row>
    <row customHeight="1" ht="33" r="40">
      <c r="B40" s="12">
        <f>HYPERLINK("https://gesdoc.uis.edu.co/share/page/folder-details?nodeRef=workspace://SpacesStore/592a7f5a-b0e7-458c-a14c-0e5a6a23465b","2025000397_9703")</f>
      </c>
      <c r="C40" s="12" t="s">
        <v>24</v>
      </c>
      <c r="D40" s="13" t="s">
        <v>34</v>
      </c>
      <c r="E40" s="12" t="s">
        <v>42</v>
      </c>
      <c r="F40" s="12" t="s">
        <v>43</v>
      </c>
      <c r="G40" s="12" t="s">
        <v>63</v>
      </c>
      <c r="H40" s="12" t="s">
        <v>63</v>
      </c>
      <c r="I40" s="12" t="s">
        <v>24</v>
      </c>
      <c r="J40" s="12" t="s">
        <v>24</v>
      </c>
    </row>
    <row customHeight="1" ht="33" r="41">
      <c r="B41" s="12">
        <f>HYPERLINK("https://gesdoc.uis.edu.co/share/page/folder-details?nodeRef=workspace://SpacesStore/69a198dc-db2b-4b7b-bc21-7f6b0000700f","2025000402_9701")</f>
      </c>
      <c r="C41" s="12" t="s">
        <v>24</v>
      </c>
      <c r="D41" s="13" t="s">
        <v>34</v>
      </c>
      <c r="E41" s="12" t="s">
        <v>42</v>
      </c>
      <c r="F41" s="12" t="s">
        <v>43</v>
      </c>
      <c r="G41" s="12" t="s">
        <v>64</v>
      </c>
      <c r="H41" s="12" t="s">
        <v>64</v>
      </c>
      <c r="I41" s="12" t="s">
        <v>24</v>
      </c>
      <c r="J41" s="12" t="s">
        <v>24</v>
      </c>
    </row>
    <row customHeight="1" ht="33" r="42">
      <c r="B42" s="12">
        <f>HYPERLINK("https://gesdoc.uis.edu.co/share/page/folder-details?nodeRef=workspace://SpacesStore/aff194b1-09df-458d-9efe-822d923e403c","2025000405_9701")</f>
      </c>
      <c r="C42" s="12" t="s">
        <v>24</v>
      </c>
      <c r="D42" s="13" t="s">
        <v>34</v>
      </c>
      <c r="E42" s="12" t="s">
        <v>42</v>
      </c>
      <c r="F42" s="12" t="s">
        <v>43</v>
      </c>
      <c r="G42" s="12" t="s">
        <v>65</v>
      </c>
      <c r="H42" s="12" t="s">
        <v>65</v>
      </c>
      <c r="I42" s="12" t="s">
        <v>24</v>
      </c>
      <c r="J42" s="12" t="s">
        <v>24</v>
      </c>
    </row>
    <row customHeight="1" ht="33" r="43">
      <c r="B43" s="12">
        <f>HYPERLINK("https://gesdoc.uis.edu.co/share/page/folder-details?nodeRef=workspace://SpacesStore/137a8ef6-1adf-46ab-a838-f14ec6736f49","2025000329_9701_9703")</f>
      </c>
      <c r="C43" s="12" t="s">
        <v>24</v>
      </c>
      <c r="D43" s="13" t="s">
        <v>34</v>
      </c>
      <c r="E43" s="12" t="s">
        <v>42</v>
      </c>
      <c r="F43" s="12" t="s">
        <v>43</v>
      </c>
      <c r="G43" s="12" t="s">
        <v>66</v>
      </c>
      <c r="H43" s="12" t="s">
        <v>104</v>
      </c>
      <c r="I43" s="12" t="s">
        <v>24</v>
      </c>
      <c r="J43" s="12" t="s">
        <v>24</v>
      </c>
    </row>
    <row customHeight="1" ht="33" r="44">
      <c r="B44" s="12">
        <f>HYPERLINK("https://gesdoc.uis.edu.co/share/page/folder-details?nodeRef=workspace://SpacesStore/fbc74f60-9521-4fb6-9979-ac92840c3d75","2025000341_9701")</f>
      </c>
      <c r="C44" s="12" t="s">
        <v>24</v>
      </c>
      <c r="D44" s="13" t="s">
        <v>34</v>
      </c>
      <c r="E44" s="12" t="s">
        <v>42</v>
      </c>
      <c r="F44" s="12" t="s">
        <v>43</v>
      </c>
      <c r="G44" s="12" t="s">
        <v>67</v>
      </c>
      <c r="H44" s="12" t="s">
        <v>67</v>
      </c>
      <c r="I44" s="12" t="s">
        <v>24</v>
      </c>
      <c r="J44" s="12" t="s">
        <v>24</v>
      </c>
    </row>
    <row customHeight="1" ht="33" r="45">
      <c r="B45" s="12">
        <f>HYPERLINK("https://gesdoc.uis.edu.co/share/page/folder-details?nodeRef=workspace://SpacesStore/fc26f4ae-001f-49ac-9ad2-2ae10cb540b5","2025000345_9701")</f>
      </c>
      <c r="C45" s="12" t="s">
        <v>24</v>
      </c>
      <c r="D45" s="13" t="s">
        <v>34</v>
      </c>
      <c r="E45" s="12" t="s">
        <v>42</v>
      </c>
      <c r="F45" s="12" t="s">
        <v>43</v>
      </c>
      <c r="G45" s="12" t="s">
        <v>67</v>
      </c>
      <c r="H45" s="12" t="s">
        <v>105</v>
      </c>
      <c r="I45" s="12" t="s">
        <v>24</v>
      </c>
      <c r="J45" s="12" t="s">
        <v>24</v>
      </c>
    </row>
    <row customHeight="1" ht="33" r="46">
      <c r="B46" s="12">
        <f>HYPERLINK("https://gesdoc.uis.edu.co/share/page/folder-details?nodeRef=workspace://SpacesStore/7b4d3985-262c-45ae-80ae-b686b0924f3b","2025000328_9701_9703")</f>
      </c>
      <c r="C46" s="12" t="s">
        <v>24</v>
      </c>
      <c r="D46" s="13" t="s">
        <v>34</v>
      </c>
      <c r="E46" s="12" t="s">
        <v>42</v>
      </c>
      <c r="F46" s="12" t="s">
        <v>43</v>
      </c>
      <c r="G46" s="12" t="s">
        <v>68</v>
      </c>
      <c r="H46" s="12" t="s">
        <v>66</v>
      </c>
      <c r="I46" s="12" t="s">
        <v>24</v>
      </c>
      <c r="J46" s="12" t="s">
        <v>24</v>
      </c>
    </row>
    <row customHeight="1" ht="33" r="47">
      <c r="B47" s="12">
        <f>HYPERLINK("https://gesdoc.uis.edu.co/share/page/folder-details?nodeRef=workspace://SpacesStore/6fe52bf3-5fe3-4d7a-af65-08153b648492","2025000343_9701")</f>
      </c>
      <c r="C47" s="12" t="s">
        <v>24</v>
      </c>
      <c r="D47" s="13" t="s">
        <v>34</v>
      </c>
      <c r="E47" s="12" t="s">
        <v>42</v>
      </c>
      <c r="F47" s="12" t="s">
        <v>43</v>
      </c>
      <c r="G47" s="12" t="s">
        <v>67</v>
      </c>
      <c r="H47" s="12" t="s">
        <v>67</v>
      </c>
      <c r="I47" s="12" t="s">
        <v>24</v>
      </c>
      <c r="J47" s="12" t="s">
        <v>24</v>
      </c>
    </row>
    <row customHeight="1" ht="33" r="48">
      <c r="B48" s="12">
        <f>HYPERLINK("https://gesdoc.uis.edu.co/share/page/folder-details?nodeRef=workspace://SpacesStore/5ad1abbe-1cea-41e5-b73e-b6056499a052","2025000380_9701")</f>
      </c>
      <c r="C48" s="12" t="s">
        <v>24</v>
      </c>
      <c r="D48" s="13" t="s">
        <v>34</v>
      </c>
      <c r="E48" s="12" t="s">
        <v>42</v>
      </c>
      <c r="F48" s="12" t="s">
        <v>43</v>
      </c>
      <c r="G48" s="12" t="s">
        <v>69</v>
      </c>
      <c r="H48" s="12" t="s">
        <v>69</v>
      </c>
      <c r="I48" s="12" t="s">
        <v>24</v>
      </c>
      <c r="J48" s="12" t="s">
        <v>24</v>
      </c>
    </row>
    <row customHeight="1" ht="33" r="49">
      <c r="B49" s="12">
        <f>HYPERLINK("https://gesdoc.uis.edu.co/share/page/folder-details?nodeRef=workspace://SpacesStore/1e4bbe5b-2d95-4f69-89a7-1c598c51d239","2025000384_9701")</f>
      </c>
      <c r="C49" s="12" t="s">
        <v>24</v>
      </c>
      <c r="D49" s="13" t="s">
        <v>34</v>
      </c>
      <c r="E49" s="12" t="s">
        <v>42</v>
      </c>
      <c r="F49" s="12" t="s">
        <v>43</v>
      </c>
      <c r="G49" s="12" t="s">
        <v>69</v>
      </c>
      <c r="H49" s="12" t="s">
        <v>70</v>
      </c>
      <c r="I49" s="12" t="s">
        <v>24</v>
      </c>
      <c r="J49" s="12" t="s">
        <v>24</v>
      </c>
    </row>
    <row customHeight="1" ht="33" r="50">
      <c r="B50" s="12">
        <f>HYPERLINK("https://gesdoc.uis.edu.co/share/page/folder-details?nodeRef=workspace://SpacesStore/a642175e-5558-4d9d-bc6c-54a73148d935","2025000386_9701")</f>
      </c>
      <c r="C50" s="12" t="s">
        <v>24</v>
      </c>
      <c r="D50" s="13" t="s">
        <v>34</v>
      </c>
      <c r="E50" s="12" t="s">
        <v>42</v>
      </c>
      <c r="F50" s="12" t="s">
        <v>43</v>
      </c>
      <c r="G50" s="12" t="s">
        <v>70</v>
      </c>
      <c r="H50" s="12" t="s">
        <v>63</v>
      </c>
      <c r="I50" s="12" t="s">
        <v>24</v>
      </c>
      <c r="J50" s="12" t="s">
        <v>24</v>
      </c>
    </row>
    <row customHeight="1" ht="33" r="51">
      <c r="B51" s="12">
        <f>HYPERLINK("https://gesdoc.uis.edu.co/share/page/folder-details?nodeRef=workspace://SpacesStore/72e043ed-7ae4-4671-9d1b-ef6777b77bf6","2025000373_9701")</f>
      </c>
      <c r="C51" s="12" t="s">
        <v>24</v>
      </c>
      <c r="D51" s="13" t="s">
        <v>34</v>
      </c>
      <c r="E51" s="12" t="s">
        <v>42</v>
      </c>
      <c r="F51" s="12" t="s">
        <v>43</v>
      </c>
      <c r="G51" s="12" t="s">
        <v>71</v>
      </c>
      <c r="H51" s="12" t="s">
        <v>71</v>
      </c>
      <c r="I51" s="12" t="s">
        <v>24</v>
      </c>
      <c r="J51" s="12" t="s">
        <v>24</v>
      </c>
    </row>
    <row customHeight="1" ht="33" r="52">
      <c r="B52" s="12">
        <f>HYPERLINK("https://gesdoc.uis.edu.co/share/page/folder-details?nodeRef=workspace://SpacesStore/4f10a3e3-9eb1-44d8-85d0-e6bf21a74aca","2025000375_9701")</f>
      </c>
      <c r="C52" s="12" t="s">
        <v>24</v>
      </c>
      <c r="D52" s="13" t="s">
        <v>34</v>
      </c>
      <c r="E52" s="12" t="s">
        <v>42</v>
      </c>
      <c r="F52" s="12" t="s">
        <v>43</v>
      </c>
      <c r="G52" s="12" t="s">
        <v>71</v>
      </c>
      <c r="H52" s="12" t="s">
        <v>69</v>
      </c>
      <c r="I52" s="12" t="s">
        <v>24</v>
      </c>
      <c r="J52" s="12" t="s">
        <v>24</v>
      </c>
    </row>
    <row customHeight="1" ht="33" r="53">
      <c r="B53" s="12">
        <f>HYPERLINK("https://gesdoc.uis.edu.co/share/page/folder-details?nodeRef=workspace://SpacesStore/03df50aa-bad7-45d0-bb85-b48b4f36376b","2025000378_9701")</f>
      </c>
      <c r="C53" s="12" t="s">
        <v>24</v>
      </c>
      <c r="D53" s="13" t="s">
        <v>34</v>
      </c>
      <c r="E53" s="12" t="s">
        <v>42</v>
      </c>
      <c r="F53" s="12" t="s">
        <v>43</v>
      </c>
      <c r="G53" s="12" t="s">
        <v>69</v>
      </c>
      <c r="H53" s="12" t="s">
        <v>69</v>
      </c>
      <c r="I53" s="12" t="s">
        <v>24</v>
      </c>
      <c r="J53" s="12" t="s">
        <v>24</v>
      </c>
    </row>
    <row customHeight="1" ht="33" r="54">
      <c r="B54" s="12">
        <f>HYPERLINK("https://gesdoc.uis.edu.co/share/page/folder-details?nodeRef=workspace://SpacesStore/cc048002-afa4-4855-a1e2-47a2ef39cfbc","2025000513_9701")</f>
      </c>
      <c r="C54" s="12" t="s">
        <v>24</v>
      </c>
      <c r="D54" s="13" t="s">
        <v>34</v>
      </c>
      <c r="E54" s="12" t="s">
        <v>42</v>
      </c>
      <c r="F54" s="12" t="s">
        <v>43</v>
      </c>
      <c r="G54" s="12" t="s">
        <v>72</v>
      </c>
      <c r="H54" s="12" t="s">
        <v>72</v>
      </c>
      <c r="I54" s="12" t="s">
        <v>24</v>
      </c>
      <c r="J54" s="12" t="s">
        <v>24</v>
      </c>
    </row>
    <row customHeight="1" ht="33" r="55">
      <c r="B55" s="12">
        <f>HYPERLINK("https://gesdoc.uis.edu.co/share/page/folder-details?nodeRef=workspace://SpacesStore/1cd041a0-0ac3-48c1-b7d5-219fef627e1f","2025000478_9702")</f>
      </c>
      <c r="C55" s="12" t="s">
        <v>24</v>
      </c>
      <c r="D55" s="13" t="s">
        <v>34</v>
      </c>
      <c r="E55" s="12" t="s">
        <v>42</v>
      </c>
      <c r="F55" s="12" t="s">
        <v>43</v>
      </c>
      <c r="G55" s="12" t="s">
        <v>73</v>
      </c>
      <c r="H55" s="12" t="s">
        <v>73</v>
      </c>
      <c r="I55" s="12" t="s">
        <v>24</v>
      </c>
      <c r="J55" s="12" t="s">
        <v>24</v>
      </c>
    </row>
    <row customHeight="1" ht="33" r="56">
      <c r="B56" s="12">
        <f>HYPERLINK("https://gesdoc.uis.edu.co/share/page/folder-details?nodeRef=workspace://SpacesStore/049af5b6-7640-4441-8669-0afc581f6673","2025000491_9701")</f>
      </c>
      <c r="C56" s="12" t="s">
        <v>24</v>
      </c>
      <c r="D56" s="13" t="s">
        <v>34</v>
      </c>
      <c r="E56" s="12" t="s">
        <v>42</v>
      </c>
      <c r="F56" s="12" t="s">
        <v>43</v>
      </c>
      <c r="G56" s="12" t="s">
        <v>74</v>
      </c>
      <c r="H56" s="12" t="s">
        <v>74</v>
      </c>
      <c r="I56" s="12" t="s">
        <v>24</v>
      </c>
      <c r="J56" s="12" t="s">
        <v>24</v>
      </c>
    </row>
    <row customHeight="1" ht="33" r="57">
      <c r="B57" s="12">
        <f>HYPERLINK("https://gesdoc.uis.edu.co/share/page/folder-details?nodeRef=workspace://SpacesStore/387373a1-e458-4891-8ad1-67937a25f441","2025000515_9701")</f>
      </c>
      <c r="C57" s="12" t="s">
        <v>24</v>
      </c>
      <c r="D57" s="13" t="s">
        <v>34</v>
      </c>
      <c r="E57" s="12" t="s">
        <v>42</v>
      </c>
      <c r="F57" s="12" t="s">
        <v>43</v>
      </c>
      <c r="G57" s="12" t="s">
        <v>75</v>
      </c>
      <c r="H57" s="12" t="s">
        <v>75</v>
      </c>
      <c r="I57" s="12" t="s">
        <v>24</v>
      </c>
      <c r="J57" s="12" t="s">
        <v>24</v>
      </c>
    </row>
    <row customHeight="1" ht="33" r="58">
      <c r="B58" s="12">
        <f>HYPERLINK("https://gesdoc.uis.edu.co/share/page/folder-details?nodeRef=workspace://SpacesStore/2c18fffc-6a63-4eca-8941-f94aa6b3d73c","2025000517_9701")</f>
      </c>
      <c r="C58" s="12" t="s">
        <v>24</v>
      </c>
      <c r="D58" s="13" t="s">
        <v>34</v>
      </c>
      <c r="E58" s="12" t="s">
        <v>42</v>
      </c>
      <c r="F58" s="12" t="s">
        <v>43</v>
      </c>
      <c r="G58" s="12" t="s">
        <v>75</v>
      </c>
      <c r="H58" s="12" t="s">
        <v>77</v>
      </c>
      <c r="I58" s="12" t="s">
        <v>24</v>
      </c>
      <c r="J58" s="12" t="s">
        <v>24</v>
      </c>
    </row>
    <row customHeight="1" ht="33" r="59">
      <c r="B59" s="12">
        <f>HYPERLINK("https://gesdoc.uis.edu.co/share/page/folder-details?nodeRef=workspace://SpacesStore/0a768116-7032-4893-8ab4-b7d4a2a985aa","2025000475_9701")</f>
      </c>
      <c r="C59" s="12" t="s">
        <v>24</v>
      </c>
      <c r="D59" s="13" t="s">
        <v>34</v>
      </c>
      <c r="E59" s="12" t="s">
        <v>42</v>
      </c>
      <c r="F59" s="12" t="s">
        <v>43</v>
      </c>
      <c r="G59" s="12" t="s">
        <v>76</v>
      </c>
      <c r="H59" s="12" t="s">
        <v>76</v>
      </c>
      <c r="I59" s="12" t="s">
        <v>24</v>
      </c>
      <c r="J59" s="12" t="s">
        <v>24</v>
      </c>
    </row>
    <row customHeight="1" ht="33" r="60">
      <c r="B60" s="12">
        <f>HYPERLINK("https://gesdoc.uis.edu.co/share/page/folder-details?nodeRef=workspace://SpacesStore/00ce30ea-67d6-4f00-9959-6cbf17fa02a3","2025000519_9701")</f>
      </c>
      <c r="C60" s="12" t="s">
        <v>24</v>
      </c>
      <c r="D60" s="13" t="s">
        <v>34</v>
      </c>
      <c r="E60" s="12" t="s">
        <v>42</v>
      </c>
      <c r="F60" s="12" t="s">
        <v>43</v>
      </c>
      <c r="G60" s="12" t="s">
        <v>77</v>
      </c>
      <c r="H60" s="12" t="s">
        <v>77</v>
      </c>
      <c r="I60" s="12" t="s">
        <v>24</v>
      </c>
      <c r="J60" s="12" t="s">
        <v>24</v>
      </c>
    </row>
    <row customHeight="1" ht="33" r="61">
      <c r="B61" s="12">
        <f>HYPERLINK("https://gesdoc.uis.edu.co/share/page/folder-details?nodeRef=workspace://SpacesStore/edba808e-e6e7-4252-a33d-68d918ffbccb","2025000530_9701")</f>
      </c>
      <c r="C61" s="12" t="s">
        <v>24</v>
      </c>
      <c r="D61" s="13" t="s">
        <v>34</v>
      </c>
      <c r="E61" s="12" t="s">
        <v>42</v>
      </c>
      <c r="F61" s="12" t="s">
        <v>43</v>
      </c>
      <c r="G61" s="12" t="s">
        <v>78</v>
      </c>
      <c r="H61" s="12" t="s">
        <v>78</v>
      </c>
      <c r="I61" s="12" t="s">
        <v>24</v>
      </c>
      <c r="J61" s="12" t="s">
        <v>24</v>
      </c>
    </row>
    <row customHeight="1" ht="33" r="62">
      <c r="B62" s="12">
        <f>HYPERLINK("https://gesdoc.uis.edu.co/share/page/folder-details?nodeRef=workspace://SpacesStore/af44b36e-2eb8-4e31-be97-1e73fbf63939","2025002509_9708")</f>
      </c>
      <c r="C62" s="12" t="s">
        <v>24</v>
      </c>
      <c r="D62" s="13" t="s">
        <v>34</v>
      </c>
      <c r="E62" s="12" t="s">
        <v>42</v>
      </c>
      <c r="F62" s="12" t="s">
        <v>44</v>
      </c>
      <c r="G62" s="12" t="s">
        <v>79</v>
      </c>
      <c r="H62" s="12" t="s">
        <v>79</v>
      </c>
      <c r="I62" s="12" t="s">
        <v>24</v>
      </c>
      <c r="J62" s="12" t="s">
        <v>24</v>
      </c>
    </row>
    <row customHeight="1" ht="33" r="63">
      <c r="B63" s="12">
        <f>HYPERLINK("https://gesdoc.uis.edu.co/share/page/folder-details?nodeRef=workspace://SpacesStore/999a7194-43f9-4294-8ae8-386fb7a1cfef","2025002090_9708")</f>
      </c>
      <c r="C63" s="12" t="s">
        <v>24</v>
      </c>
      <c r="D63" s="13" t="s">
        <v>34</v>
      </c>
      <c r="E63" s="12" t="s">
        <v>42</v>
      </c>
      <c r="F63" s="12" t="s">
        <v>44</v>
      </c>
      <c r="G63" s="12" t="s">
        <v>79</v>
      </c>
      <c r="H63" s="12" t="s">
        <v>79</v>
      </c>
      <c r="I63" s="12" t="s">
        <v>24</v>
      </c>
      <c r="J63" s="12" t="s">
        <v>24</v>
      </c>
    </row>
    <row customHeight="1" ht="33" r="64">
      <c r="B64" s="12">
        <f>HYPERLINK("https://gesdoc.uis.edu.co/share/page/folder-details?nodeRef=workspace://SpacesStore/6f47ecd4-f77a-4591-a4dc-90e248a95d1a","2025000483_9701")</f>
      </c>
      <c r="C64" s="12" t="s">
        <v>24</v>
      </c>
      <c r="D64" s="13" t="s">
        <v>34</v>
      </c>
      <c r="E64" s="12" t="s">
        <v>42</v>
      </c>
      <c r="F64" s="12" t="s">
        <v>43</v>
      </c>
      <c r="G64" s="12" t="s">
        <v>73</v>
      </c>
      <c r="H64" s="12" t="s">
        <v>74</v>
      </c>
      <c r="I64" s="12" t="s">
        <v>24</v>
      </c>
      <c r="J64" s="12" t="s">
        <v>24</v>
      </c>
    </row>
    <row customHeight="1" ht="33" r="65">
      <c r="B65" s="12">
        <f>HYPERLINK("https://gesdoc.uis.edu.co/share/page/folder-details?nodeRef=workspace://SpacesStore/cfa09978-ef0b-42a3-86d8-1419c9a76998","2025000493_9702")</f>
      </c>
      <c r="C65" s="12" t="s">
        <v>24</v>
      </c>
      <c r="D65" s="13" t="s">
        <v>34</v>
      </c>
      <c r="E65" s="12" t="s">
        <v>42</v>
      </c>
      <c r="F65" s="12" t="s">
        <v>43</v>
      </c>
      <c r="G65" s="12" t="s">
        <v>74</v>
      </c>
      <c r="H65" s="12" t="s">
        <v>74</v>
      </c>
      <c r="I65" s="12" t="s">
        <v>24</v>
      </c>
      <c r="J65" s="12" t="s">
        <v>24</v>
      </c>
    </row>
    <row customHeight="1" ht="33" r="66">
      <c r="B66" s="12">
        <f>HYPERLINK("https://gesdoc.uis.edu.co/share/page/folder-details?nodeRef=workspace://SpacesStore/7f1b46e7-7cb3-4808-ab93-70eea16ea0b7","2025000073_9701")</f>
      </c>
      <c r="C66" s="12" t="s">
        <v>24</v>
      </c>
      <c r="D66" s="13" t="s">
        <v>34</v>
      </c>
      <c r="E66" s="12" t="s">
        <v>42</v>
      </c>
      <c r="F66" s="12" t="s">
        <v>43</v>
      </c>
      <c r="G66" s="12" t="s">
        <v>80</v>
      </c>
      <c r="H66" s="12" t="s">
        <v>106</v>
      </c>
      <c r="I66" s="12" t="s">
        <v>24</v>
      </c>
      <c r="J66" s="12" t="s">
        <v>24</v>
      </c>
    </row>
    <row customHeight="1" ht="33" r="67">
      <c r="B67" s="12">
        <f>HYPERLINK("https://gesdoc.uis.edu.co/share/page/folder-details?nodeRef=workspace://SpacesStore/c1c235bb-a998-4feb-b547-81f7165e6af7","2025000151_9708")</f>
      </c>
      <c r="C67" s="12" t="s">
        <v>24</v>
      </c>
      <c r="D67" s="13" t="s">
        <v>34</v>
      </c>
      <c r="E67" s="12" t="s">
        <v>42</v>
      </c>
      <c r="F67" s="12" t="s">
        <v>43</v>
      </c>
      <c r="G67" s="12" t="s">
        <v>81</v>
      </c>
      <c r="H67" s="12" t="s">
        <v>81</v>
      </c>
      <c r="I67" s="12" t="s">
        <v>24</v>
      </c>
      <c r="J67" s="12" t="s">
        <v>24</v>
      </c>
    </row>
    <row customHeight="1" ht="33" r="68">
      <c r="B68" s="12">
        <f>HYPERLINK("https://gesdoc.uis.edu.co/share/page/folder-details?nodeRef=workspace://SpacesStore/029d29b2-6c81-4a78-b4b4-c2d3e72aa3b0","2025000498_9701")</f>
      </c>
      <c r="C68" s="12" t="s">
        <v>24</v>
      </c>
      <c r="D68" s="13" t="s">
        <v>34</v>
      </c>
      <c r="E68" s="12" t="s">
        <v>42</v>
      </c>
      <c r="F68" s="12" t="s">
        <v>43</v>
      </c>
      <c r="G68" s="12" t="s">
        <v>72</v>
      </c>
      <c r="H68" s="12" t="s">
        <v>72</v>
      </c>
      <c r="I68" s="12" t="s">
        <v>24</v>
      </c>
      <c r="J68" s="12" t="s">
        <v>24</v>
      </c>
    </row>
    <row customHeight="1" ht="33" r="69">
      <c r="B69" s="12">
        <f>HYPERLINK("https://gesdoc.uis.edu.co/share/page/folder-details?nodeRef=workspace://SpacesStore/31136ccb-ad52-4b96-b091-66dbaff0b4b0","2025000494_9701")</f>
      </c>
      <c r="C69" s="12" t="s">
        <v>24</v>
      </c>
      <c r="D69" s="13" t="s">
        <v>34</v>
      </c>
      <c r="E69" s="12" t="s">
        <v>42</v>
      </c>
      <c r="F69" s="12" t="s">
        <v>43</v>
      </c>
      <c r="G69" s="12" t="s">
        <v>74</v>
      </c>
      <c r="H69" s="12" t="s">
        <v>74</v>
      </c>
      <c r="I69" s="12" t="s">
        <v>24</v>
      </c>
      <c r="J69" s="12" t="s">
        <v>24</v>
      </c>
    </row>
    <row customHeight="1" ht="33" r="70">
      <c r="B70" s="12">
        <f>HYPERLINK("https://gesdoc.uis.edu.co/share/page/folder-details?nodeRef=workspace://SpacesStore/620a8b4d-8ce4-41b4-af45-cf8e473fe4c8","2025000521_9701")</f>
      </c>
      <c r="C70" s="12" t="s">
        <v>24</v>
      </c>
      <c r="D70" s="13" t="s">
        <v>34</v>
      </c>
      <c r="E70" s="12" t="s">
        <v>42</v>
      </c>
      <c r="F70" s="12" t="s">
        <v>43</v>
      </c>
      <c r="G70" s="12" t="s">
        <v>77</v>
      </c>
      <c r="H70" s="12" t="s">
        <v>78</v>
      </c>
      <c r="I70" s="12" t="s">
        <v>24</v>
      </c>
      <c r="J70" s="12" t="s">
        <v>24</v>
      </c>
    </row>
    <row customHeight="1" ht="33" r="71">
      <c r="B71" s="12">
        <f>HYPERLINK("https://gesdoc.uis.edu.co/share/page/folder-details?nodeRef=workspace://SpacesStore/a500e17f-575b-4f23-81de-9cacec6a8c35","2025000464_9701")</f>
      </c>
      <c r="C71" s="12" t="s">
        <v>24</v>
      </c>
      <c r="D71" s="13" t="s">
        <v>34</v>
      </c>
      <c r="E71" s="12" t="s">
        <v>42</v>
      </c>
      <c r="F71" s="12" t="s">
        <v>43</v>
      </c>
      <c r="G71" s="12" t="s">
        <v>82</v>
      </c>
      <c r="H71" s="12" t="s">
        <v>82</v>
      </c>
      <c r="I71" s="12" t="s">
        <v>24</v>
      </c>
      <c r="J71" s="12" t="s">
        <v>24</v>
      </c>
    </row>
    <row customHeight="1" ht="33" r="72">
      <c r="B72" s="12">
        <f>HYPERLINK("https://gesdoc.uis.edu.co/share/page/folder-details?nodeRef=workspace://SpacesStore/f7fd7f9c-a2e1-4827-9159-1a695c20dd6d","2025000465_9701")</f>
      </c>
      <c r="C72" s="12" t="s">
        <v>24</v>
      </c>
      <c r="D72" s="13" t="s">
        <v>34</v>
      </c>
      <c r="E72" s="12" t="s">
        <v>42</v>
      </c>
      <c r="F72" s="12" t="s">
        <v>43</v>
      </c>
      <c r="G72" s="12" t="s">
        <v>82</v>
      </c>
      <c r="H72" s="12" t="s">
        <v>82</v>
      </c>
      <c r="I72" s="12" t="s">
        <v>24</v>
      </c>
      <c r="J72" s="12" t="s">
        <v>24</v>
      </c>
    </row>
    <row customHeight="1" ht="33" r="73">
      <c r="B73" s="12">
        <f>HYPERLINK("https://gesdoc.uis.edu.co/share/page/folder-details?nodeRef=workspace://SpacesStore/2bac4505-f9e6-49a9-9107-f489143e2261","2025000518_9701")</f>
      </c>
      <c r="C73" s="12" t="s">
        <v>24</v>
      </c>
      <c r="D73" s="13" t="s">
        <v>34</v>
      </c>
      <c r="E73" s="12" t="s">
        <v>42</v>
      </c>
      <c r="F73" s="12" t="s">
        <v>43</v>
      </c>
      <c r="G73" s="12" t="s">
        <v>77</v>
      </c>
      <c r="H73" s="12" t="s">
        <v>77</v>
      </c>
      <c r="I73" s="12" t="s">
        <v>24</v>
      </c>
      <c r="J73" s="12" t="s">
        <v>24</v>
      </c>
    </row>
    <row customHeight="1" ht="33" r="74">
      <c r="B74" s="12">
        <f>HYPERLINK("https://gesdoc.uis.edu.co/share/page/folder-details?nodeRef=workspace://SpacesStore/29a6467f-06ad-4541-a819-7440fd048319","2025000529_9702")</f>
      </c>
      <c r="C74" s="12" t="s">
        <v>24</v>
      </c>
      <c r="D74" s="13" t="s">
        <v>34</v>
      </c>
      <c r="E74" s="12" t="s">
        <v>42</v>
      </c>
      <c r="F74" s="12" t="s">
        <v>43</v>
      </c>
      <c r="G74" s="12" t="s">
        <v>78</v>
      </c>
      <c r="H74" s="12" t="s">
        <v>78</v>
      </c>
      <c r="I74" s="12" t="s">
        <v>24</v>
      </c>
      <c r="J74" s="12" t="s">
        <v>24</v>
      </c>
    </row>
    <row customHeight="1" ht="33" r="75">
      <c r="B75" s="12">
        <f>HYPERLINK("https://gesdoc.uis.edu.co/share/page/folder-details?nodeRef=workspace://SpacesStore/73e2ed1f-2d79-499e-9258-902a6aeacf25","2025000543_9701")</f>
      </c>
      <c r="C75" s="12" t="s">
        <v>24</v>
      </c>
      <c r="D75" s="13" t="s">
        <v>34</v>
      </c>
      <c r="E75" s="12" t="s">
        <v>42</v>
      </c>
      <c r="F75" s="12" t="s">
        <v>43</v>
      </c>
      <c r="G75" s="12" t="s">
        <v>83</v>
      </c>
      <c r="H75" s="12" t="s">
        <v>83</v>
      </c>
      <c r="I75" s="12" t="s">
        <v>24</v>
      </c>
      <c r="J75" s="12" t="s">
        <v>24</v>
      </c>
    </row>
    <row customHeight="1" ht="33" r="76">
      <c r="B76" s="12">
        <f>HYPERLINK("https://gesdoc.uis.edu.co/share/page/folder-details?nodeRef=workspace://SpacesStore/d8835026-596e-425b-b489-1ede3566517c","2025000534_9701_9703")</f>
      </c>
      <c r="C76" s="12" t="s">
        <v>24</v>
      </c>
      <c r="D76" s="13" t="s">
        <v>34</v>
      </c>
      <c r="E76" s="12" t="s">
        <v>42</v>
      </c>
      <c r="F76" s="12" t="s">
        <v>43</v>
      </c>
      <c r="G76" s="12" t="s">
        <v>84</v>
      </c>
      <c r="H76" s="12" t="s">
        <v>84</v>
      </c>
      <c r="I76" s="12" t="s">
        <v>24</v>
      </c>
      <c r="J76" s="12" t="s">
        <v>24</v>
      </c>
    </row>
    <row customHeight="1" ht="33" r="77">
      <c r="B77" s="12">
        <f>HYPERLINK("https://gesdoc.uis.edu.co/share/page/folder-details?nodeRef=workspace://SpacesStore/19118d49-fb2b-48b8-bf14-e69f1984feb2","2025000558_9701")</f>
      </c>
      <c r="C77" s="12" t="s">
        <v>24</v>
      </c>
      <c r="D77" s="13" t="s">
        <v>34</v>
      </c>
      <c r="E77" s="12" t="s">
        <v>42</v>
      </c>
      <c r="F77" s="12" t="s">
        <v>43</v>
      </c>
      <c r="G77" s="12" t="s">
        <v>85</v>
      </c>
      <c r="H77" s="12" t="s">
        <v>85</v>
      </c>
      <c r="I77" s="12" t="s">
        <v>24</v>
      </c>
      <c r="J77" s="12" t="s">
        <v>24</v>
      </c>
    </row>
    <row customHeight="1" ht="33" r="78">
      <c r="B78" s="12">
        <f>HYPERLINK("https://gesdoc.uis.edu.co/share/page/folder-details?nodeRef=workspace://SpacesStore/dce21044-b237-43e5-9c08-a06a8f0ae31c","2025000561_9701")</f>
      </c>
      <c r="C78" s="12" t="s">
        <v>24</v>
      </c>
      <c r="D78" s="13" t="s">
        <v>34</v>
      </c>
      <c r="E78" s="12" t="s">
        <v>42</v>
      </c>
      <c r="F78" s="12" t="s">
        <v>43</v>
      </c>
      <c r="G78" s="12" t="s">
        <v>85</v>
      </c>
      <c r="H78" s="12" t="s">
        <v>85</v>
      </c>
      <c r="I78" s="12" t="s">
        <v>24</v>
      </c>
      <c r="J78" s="12" t="s">
        <v>24</v>
      </c>
    </row>
    <row customHeight="1" ht="33" r="79">
      <c r="B79" s="12">
        <f>HYPERLINK("https://gesdoc.uis.edu.co/share/page/folder-details?nodeRef=workspace://SpacesStore/6ca3258f-1e42-4f66-a356-17373addd01a","2025000554_9701")</f>
      </c>
      <c r="C79" s="12" t="s">
        <v>24</v>
      </c>
      <c r="D79" s="13" t="s">
        <v>34</v>
      </c>
      <c r="E79" s="12" t="s">
        <v>42</v>
      </c>
      <c r="F79" s="12" t="s">
        <v>43</v>
      </c>
      <c r="G79" s="12" t="s">
        <v>86</v>
      </c>
      <c r="H79" s="12" t="s">
        <v>86</v>
      </c>
      <c r="I79" s="12" t="s">
        <v>24</v>
      </c>
      <c r="J79" s="12" t="s">
        <v>24</v>
      </c>
    </row>
    <row customHeight="1" ht="33" r="80">
      <c r="B80" s="12">
        <f>HYPERLINK("https://gesdoc.uis.edu.co/share/page/folder-details?nodeRef=workspace://SpacesStore/765f6aac-8f2b-486d-bdc5-2a05514fe2fe","2025000570_9701")</f>
      </c>
      <c r="C80" s="12" t="s">
        <v>24</v>
      </c>
      <c r="D80" s="13" t="s">
        <v>34</v>
      </c>
      <c r="E80" s="12" t="s">
        <v>42</v>
      </c>
      <c r="F80" s="12" t="s">
        <v>43</v>
      </c>
      <c r="G80" s="12" t="s">
        <v>85</v>
      </c>
      <c r="H80" s="12" t="s">
        <v>85</v>
      </c>
      <c r="I80" s="12" t="s">
        <v>24</v>
      </c>
      <c r="J80" s="12" t="s">
        <v>24</v>
      </c>
    </row>
    <row customHeight="1" ht="33" r="81">
      <c r="B81" s="12">
        <f>HYPERLINK("https://gesdoc.uis.edu.co/share/page/folder-details?nodeRef=workspace://SpacesStore/1026c719-0cd3-4ed2-b6c7-03c13cafe710","2025000556_9701")</f>
      </c>
      <c r="C81" s="12" t="s">
        <v>24</v>
      </c>
      <c r="D81" s="13" t="s">
        <v>34</v>
      </c>
      <c r="E81" s="12" t="s">
        <v>42</v>
      </c>
      <c r="F81" s="12" t="s">
        <v>43</v>
      </c>
      <c r="G81" s="12" t="s">
        <v>86</v>
      </c>
      <c r="H81" s="12" t="s">
        <v>85</v>
      </c>
      <c r="I81" s="12" t="s">
        <v>24</v>
      </c>
      <c r="J81" s="12" t="s">
        <v>24</v>
      </c>
    </row>
    <row customHeight="1" ht="33" r="82">
      <c r="B82" s="12">
        <f>HYPERLINK("https://gesdoc.uis.edu.co/share/page/folder-details?nodeRef=workspace://SpacesStore/f53d217f-c640-4e49-94ac-1a6c39764522","2025000454_9703")</f>
      </c>
      <c r="C82" s="12" t="s">
        <v>24</v>
      </c>
      <c r="D82" s="13" t="s">
        <v>34</v>
      </c>
      <c r="E82" s="12" t="s">
        <v>42</v>
      </c>
      <c r="F82" s="12" t="s">
        <v>43</v>
      </c>
      <c r="G82" s="12" t="s">
        <v>87</v>
      </c>
      <c r="H82" s="12" t="s">
        <v>87</v>
      </c>
      <c r="I82" s="12" t="s">
        <v>24</v>
      </c>
      <c r="J82" s="12" t="s">
        <v>24</v>
      </c>
    </row>
    <row customHeight="1" ht="33" r="83">
      <c r="B83" s="12">
        <f>HYPERLINK("https://gesdoc.uis.edu.co/share/page/folder-details?nodeRef=workspace://SpacesStore/8f0ce252-33c3-4a8b-90e8-9634f3fbed09","2025000406_9701")</f>
      </c>
      <c r="C83" s="12" t="s">
        <v>24</v>
      </c>
      <c r="D83" s="13" t="s">
        <v>34</v>
      </c>
      <c r="E83" s="12" t="s">
        <v>42</v>
      </c>
      <c r="F83" s="12" t="s">
        <v>43</v>
      </c>
      <c r="G83" s="12" t="s">
        <v>88</v>
      </c>
      <c r="H83" s="12" t="s">
        <v>88</v>
      </c>
      <c r="I83" s="12" t="s">
        <v>24</v>
      </c>
      <c r="J83" s="12" t="s">
        <v>24</v>
      </c>
    </row>
    <row customHeight="1" ht="33" r="84">
      <c r="B84" s="12">
        <f>HYPERLINK("https://gesdoc.uis.edu.co/share/page/folder-details?nodeRef=workspace://SpacesStore/62d49090-4d27-4b16-9c59-efbde8698d13","2025000407_9701")</f>
      </c>
      <c r="C84" s="12" t="s">
        <v>24</v>
      </c>
      <c r="D84" s="13" t="s">
        <v>34</v>
      </c>
      <c r="E84" s="12" t="s">
        <v>42</v>
      </c>
      <c r="F84" s="12" t="s">
        <v>43</v>
      </c>
      <c r="G84" s="12" t="s">
        <v>88</v>
      </c>
      <c r="H84" s="12" t="s">
        <v>90</v>
      </c>
      <c r="I84" s="12" t="s">
        <v>24</v>
      </c>
      <c r="J84" s="12" t="s">
        <v>24</v>
      </c>
    </row>
    <row customHeight="1" ht="33" r="85">
      <c r="B85" s="12">
        <f>HYPERLINK("https://gesdoc.uis.edu.co/share/page/folder-details?nodeRef=workspace://SpacesStore/fccaa7ec-b94f-43f9-b5aa-3d309389b34f","2025000417_9702")</f>
      </c>
      <c r="C85" s="12" t="s">
        <v>24</v>
      </c>
      <c r="D85" s="13" t="s">
        <v>34</v>
      </c>
      <c r="E85" s="12" t="s">
        <v>42</v>
      </c>
      <c r="F85" s="12" t="s">
        <v>43</v>
      </c>
      <c r="G85" s="12" t="s">
        <v>89</v>
      </c>
      <c r="H85" s="12" t="s">
        <v>89</v>
      </c>
      <c r="I85" s="12" t="s">
        <v>24</v>
      </c>
      <c r="J85" s="12" t="s">
        <v>24</v>
      </c>
    </row>
    <row customHeight="1" ht="33" r="86">
      <c r="B86" s="12">
        <f>HYPERLINK("https://gesdoc.uis.edu.co/share/page/folder-details?nodeRef=workspace://SpacesStore/320d2667-2fcc-4e23-81c3-0f0ed9ac14f0","2025000415_9701")</f>
      </c>
      <c r="C86" s="12" t="s">
        <v>24</v>
      </c>
      <c r="D86" s="13" t="s">
        <v>34</v>
      </c>
      <c r="E86" s="12" t="s">
        <v>42</v>
      </c>
      <c r="F86" s="12" t="s">
        <v>43</v>
      </c>
      <c r="G86" s="12" t="s">
        <v>90</v>
      </c>
      <c r="H86" s="12" t="s">
        <v>89</v>
      </c>
      <c r="I86" s="12" t="s">
        <v>24</v>
      </c>
      <c r="J86" s="12" t="s">
        <v>24</v>
      </c>
    </row>
    <row customHeight="1" ht="33" r="87">
      <c r="B87" s="12">
        <f>HYPERLINK("https://gesdoc.uis.edu.co/share/page/folder-details?nodeRef=workspace://SpacesStore/08719efa-8684-4a0d-8ea8-941ba0271b7e","2025000410_9703")</f>
      </c>
      <c r="C87" s="12" t="s">
        <v>24</v>
      </c>
      <c r="D87" s="13" t="s">
        <v>34</v>
      </c>
      <c r="E87" s="12" t="s">
        <v>42</v>
      </c>
      <c r="F87" s="12" t="s">
        <v>43</v>
      </c>
      <c r="G87" s="12" t="s">
        <v>90</v>
      </c>
      <c r="H87" s="12" t="s">
        <v>90</v>
      </c>
      <c r="I87" s="12" t="s">
        <v>24</v>
      </c>
      <c r="J87" s="12" t="s">
        <v>24</v>
      </c>
    </row>
    <row customHeight="1" ht="33" r="88">
      <c r="B88" s="12">
        <f>HYPERLINK("https://gesdoc.uis.edu.co/share/page/folder-details?nodeRef=workspace://SpacesStore/596c30ed-93ae-4e00-92ce-5b4bbb8f6963","2025000409_9701")</f>
      </c>
      <c r="C88" s="12" t="s">
        <v>24</v>
      </c>
      <c r="D88" s="13" t="s">
        <v>34</v>
      </c>
      <c r="E88" s="12" t="s">
        <v>42</v>
      </c>
      <c r="F88" s="12" t="s">
        <v>43</v>
      </c>
      <c r="G88" s="12" t="s">
        <v>90</v>
      </c>
      <c r="H88" s="12" t="s">
        <v>90</v>
      </c>
      <c r="I88" s="12" t="s">
        <v>24</v>
      </c>
      <c r="J88" s="12" t="s">
        <v>24</v>
      </c>
    </row>
    <row customHeight="1" ht="33" r="89">
      <c r="B89" s="12">
        <f>HYPERLINK("https://gesdoc.uis.edu.co/share/page/folder-details?nodeRef=workspace://SpacesStore/6320728b-6a7e-42e4-9900-abc65aad5ddc","2025000413_9701")</f>
      </c>
      <c r="C89" s="12" t="s">
        <v>24</v>
      </c>
      <c r="D89" s="13" t="s">
        <v>34</v>
      </c>
      <c r="E89" s="12" t="s">
        <v>42</v>
      </c>
      <c r="F89" s="12" t="s">
        <v>43</v>
      </c>
      <c r="G89" s="12" t="s">
        <v>90</v>
      </c>
      <c r="H89" s="12" t="s">
        <v>90</v>
      </c>
      <c r="I89" s="12" t="s">
        <v>24</v>
      </c>
      <c r="J89" s="12" t="s">
        <v>24</v>
      </c>
    </row>
    <row customHeight="1" ht="33" r="90">
      <c r="B90" s="12">
        <f>HYPERLINK("https://gesdoc.uis.edu.co/share/page/folder-details?nodeRef=workspace://SpacesStore/3bde6463-a751-4752-bff8-dd7387ded59f","2025000421_9701")</f>
      </c>
      <c r="C90" s="12" t="s">
        <v>24</v>
      </c>
      <c r="D90" s="13" t="s">
        <v>34</v>
      </c>
      <c r="E90" s="12" t="s">
        <v>42</v>
      </c>
      <c r="F90" s="12" t="s">
        <v>43</v>
      </c>
      <c r="G90" s="12" t="s">
        <v>89</v>
      </c>
      <c r="H90" s="12" t="s">
        <v>89</v>
      </c>
      <c r="I90" s="12" t="s">
        <v>24</v>
      </c>
      <c r="J90" s="12" t="s">
        <v>24</v>
      </c>
    </row>
    <row customHeight="1" ht="33" r="91">
      <c r="B91" s="12">
        <f>HYPERLINK("https://gesdoc.uis.edu.co/share/page/folder-details?nodeRef=workspace://SpacesStore/de6a3edd-2f3e-49a2-9263-093160f9bca0","2025000429_9701_9703")</f>
      </c>
      <c r="C91" s="12" t="s">
        <v>24</v>
      </c>
      <c r="D91" s="13" t="s">
        <v>34</v>
      </c>
      <c r="E91" s="12" t="s">
        <v>42</v>
      </c>
      <c r="F91" s="12" t="s">
        <v>43</v>
      </c>
      <c r="G91" s="12" t="s">
        <v>91</v>
      </c>
      <c r="H91" s="12" t="s">
        <v>92</v>
      </c>
      <c r="I91" s="12" t="s">
        <v>24</v>
      </c>
      <c r="J91" s="12" t="s">
        <v>24</v>
      </c>
    </row>
    <row customHeight="1" ht="33" r="92">
      <c r="B92" s="12">
        <f>HYPERLINK("https://gesdoc.uis.edu.co/share/page/folder-details?nodeRef=workspace://SpacesStore/b1421f05-646a-40a7-aaba-feff1d96655a","2025000455_9701_9703")</f>
      </c>
      <c r="C92" s="12" t="s">
        <v>24</v>
      </c>
      <c r="D92" s="13" t="s">
        <v>34</v>
      </c>
      <c r="E92" s="12" t="s">
        <v>42</v>
      </c>
      <c r="F92" s="12" t="s">
        <v>43</v>
      </c>
      <c r="G92" s="12" t="s">
        <v>87</v>
      </c>
      <c r="H92" s="12" t="s">
        <v>107</v>
      </c>
      <c r="I92" s="12" t="s">
        <v>24</v>
      </c>
      <c r="J92" s="12" t="s">
        <v>24</v>
      </c>
    </row>
    <row customHeight="1" ht="33" r="93">
      <c r="B93" s="12">
        <f>HYPERLINK("https://gesdoc.uis.edu.co/share/page/folder-details?nodeRef=workspace://SpacesStore/57802d2f-9cff-455f-93cf-57f0b3234824","2025000452_9701_9703")</f>
      </c>
      <c r="C93" s="12" t="s">
        <v>24</v>
      </c>
      <c r="D93" s="13" t="s">
        <v>34</v>
      </c>
      <c r="E93" s="12" t="s">
        <v>42</v>
      </c>
      <c r="F93" s="12" t="s">
        <v>43</v>
      </c>
      <c r="G93" s="12" t="s">
        <v>92</v>
      </c>
      <c r="H93" s="12" t="s">
        <v>87</v>
      </c>
      <c r="I93" s="12" t="s">
        <v>24</v>
      </c>
      <c r="J93" s="12" t="s">
        <v>24</v>
      </c>
    </row>
    <row customHeight="1" ht="33" r="94">
      <c r="B94" s="12">
        <f>HYPERLINK("https://gesdoc.uis.edu.co/share/page/folder-details?nodeRef=workspace://SpacesStore/1d245dd8-713e-46d5-af52-fb0dc179d0f0","2025000450_9701_9703")</f>
      </c>
      <c r="C94" s="12" t="s">
        <v>24</v>
      </c>
      <c r="D94" s="13" t="s">
        <v>34</v>
      </c>
      <c r="E94" s="12" t="s">
        <v>42</v>
      </c>
      <c r="F94" s="12" t="s">
        <v>43</v>
      </c>
      <c r="G94" s="12" t="s">
        <v>92</v>
      </c>
      <c r="H94" s="12" t="s">
        <v>92</v>
      </c>
      <c r="I94" s="12" t="s">
        <v>24</v>
      </c>
      <c r="J94" s="12" t="s">
        <v>24</v>
      </c>
    </row>
    <row customHeight="1" ht="33" r="95">
      <c r="B95" s="12">
        <f>HYPERLINK("https://gesdoc.uis.edu.co/share/page/folder-details?nodeRef=workspace://SpacesStore/300e109a-fd7a-4f1d-9e02-068a6724bd9b","2025000551_9701")</f>
      </c>
      <c r="C95" s="12" t="s">
        <v>24</v>
      </c>
      <c r="D95" s="13" t="s">
        <v>34</v>
      </c>
      <c r="E95" s="12" t="s">
        <v>42</v>
      </c>
      <c r="F95" s="12" t="s">
        <v>43</v>
      </c>
      <c r="G95" s="12" t="s">
        <v>86</v>
      </c>
      <c r="H95" s="12" t="s">
        <v>86</v>
      </c>
      <c r="I95" s="12" t="s">
        <v>24</v>
      </c>
      <c r="J95" s="12" t="s">
        <v>24</v>
      </c>
    </row>
    <row customHeight="1" ht="33" r="96">
      <c r="B96" s="12">
        <f>HYPERLINK("https://gesdoc.uis.edu.co/share/page/folder-details?nodeRef=workspace://SpacesStore/139fdfe9-4e7d-4e19-9aee-1a858b4febac","0234_2026012232_2240")</f>
      </c>
      <c r="C96" s="12" t="s">
        <v>25</v>
      </c>
      <c r="D96" s="13" t="s">
        <v>35</v>
      </c>
      <c r="E96" s="12" t="s">
        <v>42</v>
      </c>
      <c r="F96" s="12" t="s">
        <v>45</v>
      </c>
      <c r="G96" s="12" t="s">
        <v>93</v>
      </c>
      <c r="H96" s="12" t="s">
        <v>93</v>
      </c>
      <c r="I96" s="12" t="s">
        <v>24</v>
      </c>
      <c r="J96" s="12" t="s">
        <v>24</v>
      </c>
    </row>
    <row customHeight="1" ht="33" r="97">
      <c r="B97" s="12">
        <f>HYPERLINK("https://gesdoc.uis.edu.co/share/page/folder-details?nodeRef=workspace://SpacesStore/a75aba29-1847-4072-8be8-a02ec9a8838c","0020_2026000381_7053")</f>
      </c>
      <c r="C97" s="12" t="s">
        <v>26</v>
      </c>
      <c r="D97" s="13" t="s">
        <v>36</v>
      </c>
      <c r="E97" s="12" t="s">
        <v>42</v>
      </c>
      <c r="F97" s="12" t="s">
        <v>46</v>
      </c>
      <c r="G97" s="12" t="s">
        <v>94</v>
      </c>
      <c r="H97" s="12" t="s">
        <v>108</v>
      </c>
      <c r="I97" s="12" t="s">
        <v>24</v>
      </c>
      <c r="J97" s="12" t="s">
        <v>24</v>
      </c>
    </row>
    <row customHeight="1" ht="33" r="98">
      <c r="B98" s="12">
        <f>HYPERLINK("https://gesdoc.uis.edu.co/share/page/folder-details?nodeRef=workspace://SpacesStore/5461b65e-7a14-4185-b2d9-24b71a0a13c2","0018_2026002487_9109")</f>
      </c>
      <c r="C98" s="12" t="s">
        <v>27</v>
      </c>
      <c r="D98" s="13" t="s">
        <v>37</v>
      </c>
      <c r="E98" s="12" t="s">
        <v>42</v>
      </c>
      <c r="F98" s="12" t="s">
        <v>44</v>
      </c>
      <c r="G98" s="12" t="s">
        <v>95</v>
      </c>
      <c r="H98" s="12" t="s">
        <v>109</v>
      </c>
      <c r="I98" s="12" t="s">
        <v>24</v>
      </c>
      <c r="J98" s="12" t="s">
        <v>24</v>
      </c>
    </row>
    <row customHeight="1" ht="33" r="99">
      <c r="B99" s="12">
        <f>HYPERLINK("https://gesdoc.uis.edu.co/share/page/folder-details?nodeRef=workspace://SpacesStore/b92e669b-c9eb-4a38-afbe-de4b11b7ab33","0234_2026012244_2240")</f>
      </c>
      <c r="C99" s="12" t="s">
        <v>28</v>
      </c>
      <c r="D99" s="13" t="s">
        <v>35</v>
      </c>
      <c r="E99" s="12" t="s">
        <v>42</v>
      </c>
      <c r="F99" s="12" t="s">
        <v>45</v>
      </c>
      <c r="G99" s="12" t="s">
        <v>96</v>
      </c>
      <c r="H99" s="12" t="s">
        <v>96</v>
      </c>
      <c r="I99" s="12" t="s">
        <v>24</v>
      </c>
      <c r="J99" s="12" t="s">
        <v>24</v>
      </c>
    </row>
    <row customHeight="1" ht="33" r="100">
      <c r="B100" s="12">
        <f>HYPERLINK("https://gesdoc.uis.edu.co/share/page/folder-details?nodeRef=workspace://SpacesStore/e98a6bf4-b0bb-4efe-bcbb-777e79681b38","0018_2026002535_9398")</f>
      </c>
      <c r="C100" s="12" t="s">
        <v>29</v>
      </c>
      <c r="D100" s="13" t="s">
        <v>38</v>
      </c>
      <c r="E100" s="12" t="s">
        <v>42</v>
      </c>
      <c r="F100" s="12" t="s">
        <v>44</v>
      </c>
      <c r="G100" s="12" t="s">
        <v>97</v>
      </c>
      <c r="H100" s="12" t="s">
        <v>97</v>
      </c>
      <c r="I100" s="12" t="s">
        <v>24</v>
      </c>
      <c r="J100" s="12" t="s">
        <v>24</v>
      </c>
    </row>
    <row customHeight="1" ht="33" r="101">
      <c r="B101" s="12">
        <f>HYPERLINK("https://gesdoc.uis.edu.co/share/page/folder-details?nodeRef=workspace://SpacesStore/caf29907-70ae-40f1-815f-8aaadb0af60f","0018_2026002528_7810")</f>
      </c>
      <c r="C101" s="12" t="s">
        <v>30</v>
      </c>
      <c r="D101" s="13" t="s">
        <v>39</v>
      </c>
      <c r="E101" s="12" t="s">
        <v>42</v>
      </c>
      <c r="F101" s="12" t="s">
        <v>44</v>
      </c>
      <c r="G101" s="12" t="s">
        <v>98</v>
      </c>
      <c r="H101" s="12" t="s">
        <v>110</v>
      </c>
      <c r="I101" s="12" t="s">
        <v>24</v>
      </c>
      <c r="J101" s="12" t="s">
        <v>24</v>
      </c>
    </row>
    <row customHeight="1" ht="33" r="102">
      <c r="B102" s="12">
        <f>HYPERLINK("https://gesdoc.uis.edu.co/share/page/folder-details?nodeRef=workspace://SpacesStore/2df760e9-5888-4af4-80d9-1e2e72848eb7","0020_2026000385_3190")</f>
      </c>
      <c r="C102" s="12" t="s">
        <v>31</v>
      </c>
      <c r="D102" s="13" t="s">
        <v>40</v>
      </c>
      <c r="E102" s="12" t="s">
        <v>42</v>
      </c>
      <c r="F102" s="12" t="s">
        <v>46</v>
      </c>
      <c r="G102" s="12" t="s">
        <v>99</v>
      </c>
      <c r="H102" s="12" t="s">
        <v>111</v>
      </c>
      <c r="I102" s="12" t="s">
        <v>24</v>
      </c>
      <c r="J102" s="12" t="s">
        <v>24</v>
      </c>
    </row>
    <row customHeight="1" ht="33" r="103">
      <c r="B103" s="12">
        <f>HYPERLINK("https://gesdoc.uis.edu.co/share/page/folder-details?nodeRef=workspace://SpacesStore/67880491-0e54-4e1d-bc29-860d8cada2b8","0234_2026012240_2240")</f>
      </c>
      <c r="C103" s="12" t="s">
        <v>32</v>
      </c>
      <c r="D103" s="13" t="s">
        <v>35</v>
      </c>
      <c r="E103" s="12" t="s">
        <v>42</v>
      </c>
      <c r="F103" s="12" t="s">
        <v>45</v>
      </c>
      <c r="G103" s="12" t="s">
        <v>100</v>
      </c>
      <c r="H103" s="12" t="s">
        <v>100</v>
      </c>
      <c r="I103" s="12" t="s">
        <v>24</v>
      </c>
      <c r="J103" s="12" t="s">
        <v>24</v>
      </c>
    </row>
    <row customHeight="1" ht="33" r="104">
      <c r="B104" s="12">
        <f>HYPERLINK("https://gesdoc.uis.edu.co/share/page/folder-details?nodeRef=workspace://SpacesStore/06930561-807f-4b0c-a02b-dab1021ca2a6","0020_2026000380_7061")</f>
      </c>
      <c r="C104" s="12" t="s">
        <v>33</v>
      </c>
      <c r="D104" s="13" t="s">
        <v>41</v>
      </c>
      <c r="E104" s="12" t="s">
        <v>42</v>
      </c>
      <c r="F104" s="12" t="s">
        <v>46</v>
      </c>
      <c r="G104" s="12" t="s">
        <v>101</v>
      </c>
      <c r="H104" s="12" t="s">
        <v>112</v>
      </c>
      <c r="I104" s="12" t="s">
        <v>24</v>
      </c>
      <c r="J104" s="12" t="s">
        <v>24</v>
      </c>
    </row>
    <row customHeight="1" ht="12.4" r="105">
      <c r="B105" s="10"/>
      <c r="C105" s="10"/>
      <c r="D105" s="10"/>
      <c r="E105" s="10"/>
      <c r="F105" s="10"/>
      <c r="G105" s="10"/>
      <c r="H105" s="10"/>
      <c r="I105" s="10"/>
      <c r="J105" s="10"/>
    </row>
    <row customHeight="1" ht="13.15" r="106">
      <c r="B106" s="10"/>
      <c r="C106" s="10"/>
      <c r="E106" s="10"/>
      <c r="F106" s="10"/>
      <c r="G106" s="10"/>
      <c r="H106" s="10"/>
      <c r="I106" s="10"/>
      <c r="J106" s="10"/>
    </row>
    <row customHeight="1" ht="13.5" r="107">
      <c r="B107" s="10"/>
      <c r="J107" s="10"/>
    </row>
    <row ht="12.75" r="108">
      <c r="B108" s="10"/>
      <c r="J108" s="10"/>
    </row>
    <row ht="12.75" r="109"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B116" s="10"/>
      <c r="C116" s="10"/>
      <c r="D116" s="10"/>
      <c r="E116" s="10"/>
      <c r="F116" s="10"/>
      <c r="G116" s="10"/>
      <c r="H116" s="10"/>
      <c r="I116" s="10"/>
      <c r="J116" s="10"/>
    </row>
    <row customHeight="1" ht="12.4" r="117"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B126" s="10"/>
      <c r="C126" s="10"/>
      <c r="D126" s="10"/>
      <c r="E126" s="10"/>
      <c r="F126" s="10"/>
      <c r="G126" s="10"/>
      <c r="H126" s="10"/>
      <c r="I126" s="10"/>
      <c r="J126" s="10"/>
    </row>
    <row customHeight="1" ht="12.4" r="127">
      <c r="B127" s="10"/>
      <c r="C127" s="10"/>
      <c r="D127" s="10"/>
      <c r="E127" s="10"/>
      <c r="F127" s="10"/>
      <c r="G127" s="10"/>
      <c r="H127" s="10"/>
      <c r="I127" s="10"/>
      <c r="J127" s="10"/>
    </row>
    <row customHeight="1" ht="12.4" r="128"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B129" s="10"/>
      <c r="C129" s="10"/>
      <c r="D129" s="10"/>
      <c r="E129" s="10"/>
      <c r="F129" s="10"/>
      <c r="G129" s="10"/>
      <c r="H129" s="10"/>
      <c r="I129" s="10"/>
      <c r="J129" s="10"/>
    </row>
    <row customHeight="1" ht="12.4" r="130">
      <c r="B130" s="10"/>
      <c r="C130" s="10"/>
      <c r="D130" s="10"/>
      <c r="E130" s="10"/>
      <c r="F130" s="10"/>
      <c r="G130" s="10"/>
      <c r="H130" s="10"/>
      <c r="I130" s="10"/>
      <c r="J130" s="10"/>
    </row>
    <row customHeight="1" ht="12.4" r="131">
      <c r="B131" s="10"/>
      <c r="C131" s="10"/>
      <c r="D131" s="10"/>
      <c r="E131" s="10"/>
      <c r="F131" s="10"/>
      <c r="G131" s="10"/>
      <c r="H131" s="10"/>
      <c r="I131" s="10"/>
      <c r="J131" s="10"/>
    </row>
    <row customHeight="1" ht="13.1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customHeight="1" ht="12.4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  <row ht="12.75"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</row>
    <row ht="12.75"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</row>
    <row ht="12.75"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</row>
    <row ht="12.75" r="100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</row>
    <row ht="12.75" r="100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</row>
    <row ht="12.75" r="100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</row>
    <row ht="12.75" r="1004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</row>
    <row ht="12.75" r="100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</row>
    <row ht="12.75" r="1006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</row>
    <row ht="12.75" r="1007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</row>
    <row ht="12.75" r="1008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</row>
    <row ht="12.75" r="100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</row>
    <row ht="12.75" r="1010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</row>
    <row ht="12.75" r="1011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</row>
    <row ht="12.75" r="101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</row>
    <row ht="12.75" r="101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</row>
    <row ht="12.75" r="1014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</row>
    <row ht="12.75" r="101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</row>
    <row ht="12.75" r="1016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</row>
    <row ht="12.75" r="1017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</row>
    <row ht="12.75" r="1018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</row>
    <row ht="12.75" r="10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</row>
    <row ht="12.75" r="1020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</row>
    <row ht="12.75" r="1021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</row>
    <row ht="12.75" r="102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</row>
    <row ht="12.75" r="102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</row>
    <row ht="12.75" r="1024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</row>
    <row ht="12.75" r="10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</row>
    <row ht="12.75" r="1026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</row>
    <row ht="12.75" r="1027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</row>
    <row ht="12.75" r="1028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</row>
    <row ht="12.75" r="102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</row>
    <row ht="12.75" r="1030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</row>
    <row ht="12.75" r="1031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</row>
    <row ht="12.75" r="103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</row>
    <row ht="12.75" r="103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</row>
    <row ht="12.75" r="1034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</row>
    <row ht="12.75" r="103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</row>
    <row ht="12.75" r="1036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</row>
    <row ht="12.75" r="1037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</row>
    <row ht="12.75" r="1038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</row>
    <row ht="12.75" r="103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</row>
    <row ht="12.75" r="1040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</row>
    <row ht="12.75" r="1041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</row>
    <row ht="12.75" r="104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</row>
    <row ht="12.75" r="104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</row>
    <row ht="12.75" r="1044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</row>
    <row ht="12.75" r="104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</row>
    <row ht="12.75" r="1046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</row>
    <row ht="12.75" r="1047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</row>
    <row ht="12.75" r="1048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</row>
    <row ht="12.75" r="104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</row>
    <row ht="12.75" r="1050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</row>
    <row ht="12.75" r="1051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</row>
    <row ht="12.75" r="105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</row>
    <row ht="12.75" r="1053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</row>
    <row ht="12.75" r="1054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</row>
    <row ht="12.75" r="105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</row>
    <row ht="12.75" r="1056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</row>
    <row ht="12.75" r="105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</row>
    <row ht="12.75" r="1058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</row>
    <row ht="12.75" r="105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</row>
    <row ht="12.75" r="1060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</row>
    <row ht="12.75" r="1061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</row>
    <row ht="12.75" r="106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</row>
    <row ht="12.75" r="1063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</row>
    <row ht="12.75" r="1064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</row>
    <row ht="12.75" r="106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</row>
    <row ht="12.75" r="1066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</row>
    <row ht="12.75" r="1067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</row>
    <row ht="12.75" r="1068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</row>
    <row ht="12.75" r="106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</row>
    <row ht="12.75" r="1070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</row>
    <row ht="12.75" r="1071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</row>
    <row ht="12.75" r="107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</row>
    <row ht="12.75" r="1073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</row>
    <row ht="12.75" r="1074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</row>
    <row ht="12.75" r="107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</row>
    <row ht="12.75" r="1076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</row>
    <row ht="12.75" r="1077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</row>
    <row ht="12.75" r="1078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</row>
    <row ht="12.75" r="107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</row>
    <row ht="12.75" r="1080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</row>
    <row ht="12.75" r="1081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</row>
    <row ht="12.75" r="108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</row>
    <row ht="12.75" r="1083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</row>
    <row ht="12.75" r="1084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</row>
    <row ht="12.75" r="108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</row>
    <row ht="12.75" r="1086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</row>
    <row ht="12.75" r="1087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</row>
    <row ht="12.75" r="1088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